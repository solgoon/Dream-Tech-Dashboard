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nsol\Desktop\Dream Tech\"/>
    </mc:Choice>
  </mc:AlternateContent>
  <xr:revisionPtr revIDLastSave="0" documentId="11_A2A926A47520961B9D114B2A73378BC27E8DA962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Monthly P&amp;L" sheetId="1" r:id="rId1"/>
    <sheet name="Project Details" sheetId="2" r:id="rId2"/>
    <sheet name="Annual Summary" sheetId="3" r:id="rId3"/>
    <sheet name="Equipment Resale Log" sheetId="4" r:id="rId4"/>
    <sheet name="Labor Detail" sheetId="5" r:id="rId5"/>
    <sheet name="Assumptions &amp; Note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8" i="5" l="1"/>
  <c r="E18" i="5"/>
  <c r="J17" i="5"/>
  <c r="I17" i="5"/>
  <c r="J16" i="5"/>
  <c r="I16" i="5"/>
  <c r="J15" i="5"/>
  <c r="I15" i="5"/>
  <c r="J14" i="5"/>
  <c r="I14" i="5"/>
  <c r="J13" i="5"/>
  <c r="I13" i="5"/>
  <c r="I12" i="5"/>
  <c r="J12" i="5" s="1"/>
  <c r="I11" i="5"/>
  <c r="J11" i="5" s="1"/>
  <c r="I10" i="5"/>
  <c r="I18" i="5" s="1"/>
  <c r="J9" i="5"/>
  <c r="I9" i="5"/>
  <c r="J8" i="5"/>
  <c r="I8" i="5"/>
  <c r="J7" i="5"/>
  <c r="I7" i="5"/>
  <c r="J6" i="5"/>
  <c r="I6" i="5"/>
  <c r="J5" i="5"/>
  <c r="I5" i="5"/>
  <c r="E17" i="4"/>
  <c r="C17" i="4"/>
  <c r="F39" i="3"/>
  <c r="F37" i="3"/>
  <c r="F36" i="3"/>
  <c r="F35" i="3"/>
  <c r="F34" i="3"/>
  <c r="F29" i="3"/>
  <c r="F27" i="3"/>
  <c r="F26" i="3"/>
  <c r="F25" i="3"/>
  <c r="F24" i="3"/>
  <c r="F23" i="3"/>
  <c r="F19" i="3"/>
  <c r="F17" i="3"/>
  <c r="F16" i="3"/>
  <c r="F15" i="3"/>
  <c r="F14" i="3"/>
  <c r="F13" i="3"/>
  <c r="F12" i="3"/>
  <c r="F11" i="3"/>
  <c r="F10" i="3"/>
  <c r="F7" i="3"/>
  <c r="F6" i="3"/>
  <c r="F5" i="3"/>
  <c r="J17" i="2"/>
  <c r="I17" i="2"/>
  <c r="D17" i="2"/>
  <c r="L16" i="2"/>
  <c r="K16" i="2"/>
  <c r="L15" i="2"/>
  <c r="K15" i="2"/>
  <c r="K14" i="2"/>
  <c r="L14" i="2" s="1"/>
  <c r="L13" i="2"/>
  <c r="K13" i="2"/>
  <c r="L12" i="2"/>
  <c r="K12" i="2"/>
  <c r="K11" i="2"/>
  <c r="L11" i="2" s="1"/>
  <c r="L10" i="2"/>
  <c r="K10" i="2"/>
  <c r="L9" i="2"/>
  <c r="K9" i="2"/>
  <c r="L8" i="2"/>
  <c r="K8" i="2"/>
  <c r="L7" i="2"/>
  <c r="K7" i="2"/>
  <c r="K6" i="2"/>
  <c r="L5" i="2"/>
  <c r="K5" i="2"/>
  <c r="L4" i="2"/>
  <c r="K4" i="2"/>
  <c r="S45" i="1"/>
  <c r="R45" i="1"/>
  <c r="Q45" i="1"/>
  <c r="L45" i="1"/>
  <c r="K45" i="1"/>
  <c r="J45" i="1"/>
  <c r="I45" i="1"/>
  <c r="H45" i="1"/>
  <c r="G45" i="1"/>
  <c r="F45" i="1"/>
  <c r="E45" i="1"/>
  <c r="D45" i="1"/>
  <c r="C45" i="1"/>
  <c r="M44" i="1"/>
  <c r="E44" i="1"/>
  <c r="N43" i="1"/>
  <c r="U43" i="1" s="1"/>
  <c r="V43" i="1" s="1"/>
  <c r="M43" i="1"/>
  <c r="E43" i="1"/>
  <c r="P43" i="1" s="1"/>
  <c r="T43" i="1" s="1"/>
  <c r="M42" i="1"/>
  <c r="E42" i="1"/>
  <c r="P42" i="1" s="1"/>
  <c r="T42" i="1" s="1"/>
  <c r="P41" i="1"/>
  <c r="T41" i="1" s="1"/>
  <c r="M41" i="1"/>
  <c r="N41" i="1" s="1"/>
  <c r="E41" i="1"/>
  <c r="M40" i="1"/>
  <c r="E40" i="1"/>
  <c r="P39" i="1"/>
  <c r="T39" i="1" s="1"/>
  <c r="U39" i="1" s="1"/>
  <c r="V39" i="1" s="1"/>
  <c r="O39" i="1"/>
  <c r="N39" i="1"/>
  <c r="M39" i="1"/>
  <c r="E39" i="1"/>
  <c r="M38" i="1"/>
  <c r="E38" i="1"/>
  <c r="P37" i="1"/>
  <c r="T37" i="1" s="1"/>
  <c r="M37" i="1"/>
  <c r="N37" i="1" s="1"/>
  <c r="E37" i="1"/>
  <c r="M36" i="1"/>
  <c r="E36" i="1"/>
  <c r="T35" i="1"/>
  <c r="P35" i="1"/>
  <c r="M35" i="1"/>
  <c r="N35" i="1" s="1"/>
  <c r="E35" i="1"/>
  <c r="M34" i="1"/>
  <c r="E34" i="1"/>
  <c r="P33" i="1"/>
  <c r="T33" i="1" s="1"/>
  <c r="M33" i="1"/>
  <c r="N33" i="1" s="1"/>
  <c r="E33" i="1"/>
  <c r="M32" i="1"/>
  <c r="E32" i="1"/>
  <c r="P31" i="1"/>
  <c r="T31" i="1" s="1"/>
  <c r="M31" i="1"/>
  <c r="N31" i="1" s="1"/>
  <c r="E31" i="1"/>
  <c r="M30" i="1"/>
  <c r="E30" i="1"/>
  <c r="V30" i="1" s="1"/>
  <c r="P29" i="1"/>
  <c r="T29" i="1" s="1"/>
  <c r="N29" i="1"/>
  <c r="O29" i="1" s="1"/>
  <c r="M29" i="1"/>
  <c r="E29" i="1"/>
  <c r="M28" i="1"/>
  <c r="E28" i="1"/>
  <c r="P27" i="1"/>
  <c r="T27" i="1" s="1"/>
  <c r="M27" i="1"/>
  <c r="N27" i="1" s="1"/>
  <c r="E27" i="1"/>
  <c r="M26" i="1"/>
  <c r="E26" i="1"/>
  <c r="P25" i="1"/>
  <c r="T25" i="1" s="1"/>
  <c r="U25" i="1" s="1"/>
  <c r="V25" i="1" s="1"/>
  <c r="O25" i="1"/>
  <c r="N25" i="1"/>
  <c r="M25" i="1"/>
  <c r="E25" i="1"/>
  <c r="M24" i="1"/>
  <c r="E24" i="1"/>
  <c r="V24" i="1" s="1"/>
  <c r="P23" i="1"/>
  <c r="T23" i="1" s="1"/>
  <c r="M23" i="1"/>
  <c r="N23" i="1" s="1"/>
  <c r="E23" i="1"/>
  <c r="M22" i="1"/>
  <c r="E22" i="1"/>
  <c r="V22" i="1" s="1"/>
  <c r="V21" i="1"/>
  <c r="P21" i="1"/>
  <c r="T21" i="1" s="1"/>
  <c r="O21" i="1"/>
  <c r="M21" i="1"/>
  <c r="N21" i="1" s="1"/>
  <c r="U21" i="1" s="1"/>
  <c r="E21" i="1"/>
  <c r="M20" i="1"/>
  <c r="E20" i="1"/>
  <c r="V19" i="1"/>
  <c r="P19" i="1"/>
  <c r="T19" i="1" s="1"/>
  <c r="O19" i="1"/>
  <c r="M19" i="1"/>
  <c r="N19" i="1" s="1"/>
  <c r="U19" i="1" s="1"/>
  <c r="E19" i="1"/>
  <c r="M18" i="1"/>
  <c r="E18" i="1"/>
  <c r="V18" i="1" s="1"/>
  <c r="P17" i="1"/>
  <c r="T17" i="1" s="1"/>
  <c r="M17" i="1"/>
  <c r="N17" i="1" s="1"/>
  <c r="E17" i="1"/>
  <c r="M16" i="1"/>
  <c r="E16" i="1"/>
  <c r="V15" i="1"/>
  <c r="T15" i="1"/>
  <c r="P15" i="1"/>
  <c r="O15" i="1"/>
  <c r="M15" i="1"/>
  <c r="N15" i="1" s="1"/>
  <c r="U15" i="1" s="1"/>
  <c r="E15" i="1"/>
  <c r="M14" i="1"/>
  <c r="E14" i="1"/>
  <c r="T13" i="1"/>
  <c r="P13" i="1"/>
  <c r="M13" i="1"/>
  <c r="N13" i="1" s="1"/>
  <c r="E13" i="1"/>
  <c r="M12" i="1"/>
  <c r="E12" i="1"/>
  <c r="V12" i="1" s="1"/>
  <c r="P11" i="1"/>
  <c r="T11" i="1" s="1"/>
  <c r="M11" i="1"/>
  <c r="N11" i="1" s="1"/>
  <c r="E11" i="1"/>
  <c r="M10" i="1"/>
  <c r="E10" i="1"/>
  <c r="V10" i="1" s="1"/>
  <c r="V9" i="1"/>
  <c r="P9" i="1"/>
  <c r="T9" i="1" s="1"/>
  <c r="O9" i="1"/>
  <c r="M9" i="1"/>
  <c r="N9" i="1" s="1"/>
  <c r="E9" i="1"/>
  <c r="M8" i="1"/>
  <c r="E8" i="1"/>
  <c r="V7" i="1"/>
  <c r="P7" i="1"/>
  <c r="T7" i="1" s="1"/>
  <c r="O7" i="1"/>
  <c r="M7" i="1"/>
  <c r="N7" i="1" s="1"/>
  <c r="U7" i="1" s="1"/>
  <c r="E7" i="1"/>
  <c r="M6" i="1"/>
  <c r="E6" i="1"/>
  <c r="V6" i="1" s="1"/>
  <c r="U31" i="1" l="1"/>
  <c r="V31" i="1" s="1"/>
  <c r="O31" i="1"/>
  <c r="U37" i="1"/>
  <c r="V37" i="1" s="1"/>
  <c r="O37" i="1"/>
  <c r="U13" i="1"/>
  <c r="V13" i="1" s="1"/>
  <c r="O13" i="1"/>
  <c r="O11" i="1"/>
  <c r="U11" i="1"/>
  <c r="V11" i="1" s="1"/>
  <c r="U33" i="1"/>
  <c r="V33" i="1" s="1"/>
  <c r="O33" i="1"/>
  <c r="U35" i="1"/>
  <c r="V35" i="1" s="1"/>
  <c r="O35" i="1"/>
  <c r="U27" i="1"/>
  <c r="V27" i="1" s="1"/>
  <c r="O27" i="1"/>
  <c r="U17" i="1"/>
  <c r="V17" i="1" s="1"/>
  <c r="O17" i="1"/>
  <c r="U23" i="1"/>
  <c r="V23" i="1" s="1"/>
  <c r="O23" i="1"/>
  <c r="U9" i="1"/>
  <c r="O41" i="1"/>
  <c r="U41" i="1"/>
  <c r="V41" i="1" s="1"/>
  <c r="V36" i="1"/>
  <c r="V40" i="1"/>
  <c r="U29" i="1"/>
  <c r="V29" i="1" s="1"/>
  <c r="M45" i="1"/>
  <c r="O43" i="1"/>
  <c r="V34" i="1"/>
  <c r="K17" i="2"/>
  <c r="L17" i="2"/>
  <c r="N6" i="1"/>
  <c r="N10" i="1"/>
  <c r="N12" i="1"/>
  <c r="N14" i="1"/>
  <c r="N16" i="1"/>
  <c r="N20" i="1"/>
  <c r="N22" i="1"/>
  <c r="N24" i="1"/>
  <c r="N26" i="1"/>
  <c r="N28" i="1"/>
  <c r="U28" i="1" s="1"/>
  <c r="V28" i="1" s="1"/>
  <c r="N30" i="1"/>
  <c r="N32" i="1"/>
  <c r="N34" i="1"/>
  <c r="U34" i="1" s="1"/>
  <c r="N36" i="1"/>
  <c r="U36" i="1" s="1"/>
  <c r="N38" i="1"/>
  <c r="U38" i="1" s="1"/>
  <c r="V38" i="1" s="1"/>
  <c r="N40" i="1"/>
  <c r="U40" i="1" s="1"/>
  <c r="N42" i="1"/>
  <c r="U42" i="1" s="1"/>
  <c r="V42" i="1" s="1"/>
  <c r="O8" i="1"/>
  <c r="O12" i="1"/>
  <c r="O24" i="1"/>
  <c r="O32" i="1"/>
  <c r="O40" i="1"/>
  <c r="P10" i="1"/>
  <c r="T10" i="1" s="1"/>
  <c r="P18" i="1"/>
  <c r="T18" i="1" s="1"/>
  <c r="P26" i="1"/>
  <c r="T26" i="1" s="1"/>
  <c r="P32" i="1"/>
  <c r="T32" i="1" s="1"/>
  <c r="P34" i="1"/>
  <c r="T34" i="1" s="1"/>
  <c r="P38" i="1"/>
  <c r="T38" i="1" s="1"/>
  <c r="P40" i="1"/>
  <c r="T40" i="1" s="1"/>
  <c r="P44" i="1"/>
  <c r="T44" i="1" s="1"/>
  <c r="L6" i="2"/>
  <c r="N8" i="1"/>
  <c r="U8" i="1" s="1"/>
  <c r="V8" i="1" s="1"/>
  <c r="N18" i="1"/>
  <c r="N44" i="1"/>
  <c r="U44" i="1" s="1"/>
  <c r="V44" i="1" s="1"/>
  <c r="O6" i="1"/>
  <c r="O10" i="1"/>
  <c r="O14" i="1"/>
  <c r="O18" i="1"/>
  <c r="O20" i="1"/>
  <c r="O22" i="1"/>
  <c r="O30" i="1"/>
  <c r="O34" i="1"/>
  <c r="O36" i="1"/>
  <c r="O38" i="1"/>
  <c r="O42" i="1"/>
  <c r="O44" i="1"/>
  <c r="P6" i="1"/>
  <c r="P8" i="1"/>
  <c r="T8" i="1" s="1"/>
  <c r="P12" i="1"/>
  <c r="T12" i="1" s="1"/>
  <c r="P14" i="1"/>
  <c r="T14" i="1" s="1"/>
  <c r="P16" i="1"/>
  <c r="T16" i="1" s="1"/>
  <c r="P20" i="1"/>
  <c r="T20" i="1" s="1"/>
  <c r="P22" i="1"/>
  <c r="T22" i="1" s="1"/>
  <c r="P24" i="1"/>
  <c r="T24" i="1" s="1"/>
  <c r="P28" i="1"/>
  <c r="T28" i="1" s="1"/>
  <c r="P30" i="1"/>
  <c r="T30" i="1" s="1"/>
  <c r="P36" i="1"/>
  <c r="T36" i="1" s="1"/>
  <c r="J10" i="5"/>
  <c r="U16" i="1" l="1"/>
  <c r="V16" i="1" s="1"/>
  <c r="O16" i="1"/>
  <c r="U14" i="1"/>
  <c r="V14" i="1" s="1"/>
  <c r="U22" i="1"/>
  <c r="U20" i="1"/>
  <c r="V20" i="1" s="1"/>
  <c r="U18" i="1"/>
  <c r="U10" i="1"/>
  <c r="U12" i="1"/>
  <c r="U24" i="1"/>
  <c r="O28" i="1"/>
  <c r="U32" i="1"/>
  <c r="V32" i="1" s="1"/>
  <c r="U26" i="1"/>
  <c r="V26" i="1" s="1"/>
  <c r="T6" i="1"/>
  <c r="T45" i="1" s="1"/>
  <c r="P45" i="1"/>
  <c r="U6" i="1"/>
  <c r="N45" i="1"/>
  <c r="O45" i="1" s="1"/>
  <c r="O26" i="1"/>
  <c r="U30" i="1"/>
  <c r="U45" i="1" l="1"/>
  <c r="V45" i="1" s="1"/>
</calcChain>
</file>

<file path=xl/sharedStrings.xml><?xml version="1.0" encoding="utf-8"?>
<sst xmlns="http://schemas.openxmlformats.org/spreadsheetml/2006/main" count="305" uniqueCount="229">
  <si>
    <t>DREAM'S TECHNOLOGY SERVICE — MONTHLY PROFIT &amp; LOSS LEDGER</t>
  </si>
  <si>
    <t>Decommissioning Services Division | New York Metropolitan Area</t>
  </si>
  <si>
    <t>Period: January 2023 — March 2026 | Generated: 2026-03-25</t>
  </si>
  <si>
    <t>Month</t>
  </si>
  <si>
    <t>Year</t>
  </si>
  <si>
    <t>Project Revenue</t>
  </si>
  <si>
    <t>Equipment Resale</t>
  </si>
  <si>
    <t>Total Revenue</t>
  </si>
  <si>
    <t>Union Labor</t>
  </si>
  <si>
    <t>Specialists</t>
  </si>
  <si>
    <t>Transportation</t>
  </si>
  <si>
    <t>Storage (Fixed Lease)</t>
  </si>
  <si>
    <t>Insurance</t>
  </si>
  <si>
    <t>Staff Meals &amp; Travel</t>
  </si>
  <si>
    <t>Certification Fees</t>
  </si>
  <si>
    <t>Total Direct Costs</t>
  </si>
  <si>
    <t>Gross Profit</t>
  </si>
  <si>
    <t>Gross Margin %</t>
  </si>
  <si>
    <t>Owner Salary (2% Rev)</t>
  </si>
  <si>
    <t>Accountant Fee</t>
  </si>
  <si>
    <t>Attorney Fee</t>
  </si>
  <si>
    <t>Office &amp; Admin</t>
  </si>
  <si>
    <t>Total Overhead</t>
  </si>
  <si>
    <t>EBITDA</t>
  </si>
  <si>
    <t>EBITDA Margin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</si>
  <si>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</si>
  <si>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</si>
  <si>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</si>
  <si>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</si>
  <si>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</si>
  <si>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</si>
  <si>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</si>
  <si>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</si>
  <si>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</si>
  <si>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</si>
  <si>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</si>
  <si>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</si>
  <si>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</si>
  <si>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DREAM'S TECHNOLOGY SERVICE — PROJECT DETAIL REGISTER</t>
  </si>
  <si>
    <t>#</t>
  </si>
  <si>
    <t>Client</t>
  </si>
  <si>
    <t>Project Name</t>
  </si>
  <si>
    <t>Contract Award ($)</t>
  </si>
  <si>
    <t>Start Month</t>
  </si>
  <si>
    <t>Duration (Weeks)</t>
  </si>
  <si>
    <t>Union Laborers</t>
  </si>
  <si>
    <t>Total Labor Cost ($)</t>
  </si>
  <si>
    <t>Total Direct Cost ($)</t>
  </si>
  <si>
    <t>Est. Gross Profit ($)</t>
  </si>
  <si>
    <t>JPMorgan Chase</t>
  </si>
  <si>
    <t>383 Madison Ave Floor 18-22 Decom</t>
  </si>
  <si>
    <t>February 2023</t>
  </si>
  <si>
    <t>Citibank</t>
  </si>
  <si>
    <t>388 Greenwich St Data Center Decom</t>
  </si>
  <si>
    <t>May 2023</t>
  </si>
  <si>
    <t>Amazon AWS</t>
  </si>
  <si>
    <t>Hudson Yards Office Decom Phase 1</t>
  </si>
  <si>
    <t>August 2023</t>
  </si>
  <si>
    <t>4 NY Plaza Trading Floor Retrofit Decom</t>
  </si>
  <si>
    <t>November 2023</t>
  </si>
  <si>
    <t>111 Wall St Floors 8-14 Decom</t>
  </si>
  <si>
    <t>February 2024</t>
  </si>
  <si>
    <t>JFK Logistics Hub Decom</t>
  </si>
  <si>
    <t>May 2024</t>
  </si>
  <si>
    <t>277 Park Ave Server Room Decom</t>
  </si>
  <si>
    <t>September 2024</t>
  </si>
  <si>
    <t>601 Lexington Cubicle Farm Decom</t>
  </si>
  <si>
    <t>January 2025</t>
  </si>
  <si>
    <t>Brooklyn Navy Yard Warehouse Decom</t>
  </si>
  <si>
    <t>March 2025</t>
  </si>
  <si>
    <t>383 Madison Ave Floor 30-35 Decom</t>
  </si>
  <si>
    <t>July 2025</t>
  </si>
  <si>
    <t>1 Court Square Long Island City Decom</t>
  </si>
  <si>
    <t>October 2025</t>
  </si>
  <si>
    <t>Manhattan West Tower Decom Phase 2</t>
  </si>
  <si>
    <t>January 2026</t>
  </si>
  <si>
    <t>270 Park Ave Legacy Systems Decom</t>
  </si>
  <si>
    <t>February 2026</t>
  </si>
  <si>
    <t>TOTALS</t>
  </si>
  <si>
    <t>DREAM'S TECHNOLOGY SERVICE — ANNUAL FINANCIAL SUMMARY</t>
  </si>
  <si>
    <t>2023</t>
  </si>
  <si>
    <t>2024</t>
  </si>
  <si>
    <t>2025</t>
  </si>
  <si>
    <t>2026 (Q1)</t>
  </si>
  <si>
    <t>TOTAL</t>
  </si>
  <si>
    <t>REVENUE</t>
  </si>
  <si>
    <t xml:space="preserve">  Project Revenue</t>
  </si>
  <si>
    <t xml:space="preserve">  Equipment Resale</t>
  </si>
  <si>
    <t xml:space="preserve">  Total Revenue</t>
  </si>
  <si>
    <t>DIRECT COSTS</t>
  </si>
  <si>
    <t xml:space="preserve">  Union Labor</t>
  </si>
  <si>
    <t xml:space="preserve">  Specialists</t>
  </si>
  <si>
    <t xml:space="preserve">  Transportation</t>
  </si>
  <si>
    <t xml:space="preserve">  Storage</t>
  </si>
  <si>
    <t xml:space="preserve">  Insurance</t>
  </si>
  <si>
    <t xml:space="preserve">  Staff Meals &amp; Travel</t>
  </si>
  <si>
    <t xml:space="preserve">  Certification Fees</t>
  </si>
  <si>
    <t xml:space="preserve">  Total Direct Costs</t>
  </si>
  <si>
    <t>GROSS PROFIT</t>
  </si>
  <si>
    <t>OVERHEAD</t>
  </si>
  <si>
    <t xml:space="preserve">  Owner Salary (2% of Revenue)</t>
  </si>
  <si>
    <t xml:space="preserve">  Accountant Fees</t>
  </si>
  <si>
    <t xml:space="preserve">  Attorney Fees</t>
  </si>
  <si>
    <t xml:space="preserve">  Office &amp; Admin</t>
  </si>
  <si>
    <t xml:space="preserve">  Total Overhead</t>
  </si>
  <si>
    <t>TAX PROVISION</t>
  </si>
  <si>
    <t xml:space="preserve">  Estimated Tax Rate</t>
  </si>
  <si>
    <t xml:space="preserve">  Federal Tax (21%)</t>
  </si>
  <si>
    <t xml:space="preserve">  NYS Tax (6.5%)</t>
  </si>
  <si>
    <t xml:space="preserve">  NYC Tax (8.85%)</t>
  </si>
  <si>
    <t xml:space="preserve">  Total Tax Provision</t>
  </si>
  <si>
    <t>NET INCOME</t>
  </si>
  <si>
    <t>Net Margin %</t>
  </si>
  <si>
    <t>DREAM'S TECHNOLOGY SERVICE — EQUIPMENT RESALE LOG</t>
  </si>
  <si>
    <t>Quarter</t>
  </si>
  <si>
    <t>Period</t>
  </si>
  <si>
    <t>Items Sold</t>
  </si>
  <si>
    <t>Description</t>
  </si>
  <si>
    <t>Revenue ($)</t>
  </si>
  <si>
    <t>Buyer Type</t>
  </si>
  <si>
    <t>Q1 2023</t>
  </si>
  <si>
    <t>Jan-Mar 2023</t>
  </si>
  <si>
    <t>Server racks (2), UPS battery backup</t>
  </si>
  <si>
    <t>IT Liquidator</t>
  </si>
  <si>
    <t>Q2 2023</t>
  </si>
  <si>
    <t>Apr-Jun 2023</t>
  </si>
  <si>
    <t>Cisco switches (5), Dell servers (3)</t>
  </si>
  <si>
    <t>Reseller / eBay</t>
  </si>
  <si>
    <t>Q3 2023</t>
  </si>
  <si>
    <t>Jul-Sep 2023</t>
  </si>
  <si>
    <t>Cubicle panels (lot), office chairs (20)</t>
  </si>
  <si>
    <t>Office Surplus</t>
  </si>
  <si>
    <t>Q4 2023</t>
  </si>
  <si>
    <t>Oct-Dec 2023</t>
  </si>
  <si>
    <t>Trading monitors (40), KVM switches, cabling lot</t>
  </si>
  <si>
    <t>Reseller / Direct</t>
  </si>
  <si>
    <t>Q1 2024</t>
  </si>
  <si>
    <t>Jan-Mar 2024</t>
  </si>
  <si>
    <t>Raised floor tiles (lot), HVAC components</t>
  </si>
  <si>
    <t>Contractor Direct</t>
  </si>
  <si>
    <t>Q2 2024</t>
  </si>
  <si>
    <t>Apr-Jun 2024</t>
  </si>
  <si>
    <t>HP blade servers (6), NetApp storage array</t>
  </si>
  <si>
    <t>Q3 2024</t>
  </si>
  <si>
    <t>Jul-Sep 2024</t>
  </si>
  <si>
    <t>APC PDUs (10), fire suppression panels</t>
  </si>
  <si>
    <t>Reseller</t>
  </si>
  <si>
    <t>Q4 2024</t>
  </si>
  <si>
    <t>Oct-Dec 2024</t>
  </si>
  <si>
    <t>Cisco Nexus switches (8), fiber optic lot, generators</t>
  </si>
  <si>
    <t>Auction / Direct</t>
  </si>
  <si>
    <t>Q1 2025</t>
  </si>
  <si>
    <t>Jan-Mar 2025</t>
  </si>
  <si>
    <t>Dell PowerEdge R740 (4), EMC storage</t>
  </si>
  <si>
    <t>Q2 2025</t>
  </si>
  <si>
    <t>Apr-Jun 2025</t>
  </si>
  <si>
    <t>Trading desk monitors (60), Bloomberg terminals (5)</t>
  </si>
  <si>
    <t>Direct / Reseller</t>
  </si>
  <si>
    <t>Q3 2025</t>
  </si>
  <si>
    <t>Jul-Sep 2025</t>
  </si>
  <si>
    <t>Office furniture lot, conference room AV equipment</t>
  </si>
  <si>
    <t>Q4 2025</t>
  </si>
  <si>
    <t>Oct-Dec 2025</t>
  </si>
  <si>
    <t>Juniper routers (6), UPS systems (3), cabling</t>
  </si>
  <si>
    <t>Auction / Reseller</t>
  </si>
  <si>
    <t>Q1 2026</t>
  </si>
  <si>
    <t>Jan-Mar 2026</t>
  </si>
  <si>
    <t>Legacy mainframe components, server racks (8)</t>
  </si>
  <si>
    <t>IT Liquidator / eBay</t>
  </si>
  <si>
    <t>DREAM'S TECHNOLOGY SERVICE — LABOR COST DETAIL</t>
  </si>
  <si>
    <t>NYC Prevailing Wage Rates | Union Laborers $65/hr loaded | Specialists $95/hr loaded | 40 hrs/week</t>
  </si>
  <si>
    <t>Project</t>
  </si>
  <si>
    <t>Laborers</t>
  </si>
  <si>
    <t>Lab Weeks</t>
  </si>
  <si>
    <t>Laborer Cost ($)</t>
  </si>
  <si>
    <t>Spec Weeks</t>
  </si>
  <si>
    <t>Specialist Cost ($)</t>
  </si>
  <si>
    <t>Total Labor ($)</t>
  </si>
  <si>
    <t>% of Award</t>
  </si>
  <si>
    <t>JPMorgan Chase - 383 Madison Ave Floor 18-22 Decom</t>
  </si>
  <si>
    <t>Citibank - 388 Greenwich St Data Center Decom</t>
  </si>
  <si>
    <t>Amazon AWS - Hudson Yards Office Decom Phase 1</t>
  </si>
  <si>
    <t>JPMorgan Chase - 4 NY Plaza Trading Floor Retrofit D</t>
  </si>
  <si>
    <t>Citibank - 111 Wall St Floors 8-14 Decom</t>
  </si>
  <si>
    <t>Amazon AWS - JFK Logistics Hub Decom</t>
  </si>
  <si>
    <t>JPMorgan Chase - 277 Park Ave Server Room Decom</t>
  </si>
  <si>
    <t>Citibank - 601 Lexington Cubicle Farm Decom</t>
  </si>
  <si>
    <t>Amazon AWS - Brooklyn Navy Yard Warehouse Decom</t>
  </si>
  <si>
    <t>JPMorgan Chase - 383 Madison Ave Floor 30-35 Decom</t>
  </si>
  <si>
    <t>Citibank - 1 Court Square Long Island City Dec</t>
  </si>
  <si>
    <t>Amazon AWS - Manhattan West Tower Decom Phase 2</t>
  </si>
  <si>
    <t>JPMorgan Chase - 270 Park Ave Legacy Systems Decom</t>
  </si>
  <si>
    <t>DREAM'S TECHNOLOGY SERVICE — KEY ASSUMPTIONS</t>
  </si>
  <si>
    <t>General</t>
  </si>
  <si>
    <t>•</t>
  </si>
  <si>
    <t>Entity: Dream's Technology Service, LLC</t>
  </si>
  <si>
    <t>Service: IT &amp; Office Decommissioning for Major NYC Corporations</t>
  </si>
  <si>
    <t>Period: January 2023 — March 2026 (39 months)</t>
  </si>
  <si>
    <t>Primary Clients: JPMorgan Chase, Citibank, Amazon AWS</t>
  </si>
  <si>
    <t>Revenue Recognition</t>
  </si>
  <si>
    <t>Payment terms: Net-30 from milestone dates</t>
  </si>
  <si>
    <t>Milestone schedule: 30% on contract award, 40% at midpoint, 30% on completion</t>
  </si>
  <si>
    <t>Equipment resale recognized upon sale completion (quarterly)</t>
  </si>
  <si>
    <t>Labor Rates (NYC Prevailing Wage)</t>
  </si>
  <si>
    <t>Union Laborers: $65/hour fully loaded (includes benefits, pension, FICA)</t>
  </si>
  <si>
    <t>Specialists (HVAC, electrical, hazmat): $95/hour fully loaded</t>
  </si>
  <si>
    <t>Standard work week: 40 hours (overtime billed separately at 1.5x if applicable)</t>
  </si>
  <si>
    <t>Typical crew: 16-32 laborers + 4-8 specialists per project</t>
  </si>
  <si>
    <t>Project Parameters</t>
  </si>
  <si>
    <t>Average project duration: 5-6 weeks</t>
  </si>
  <si>
    <t>Annual project volume: 3-5 projects per year</t>
  </si>
  <si>
    <t>Contract award range: $1.65M — $3.2M</t>
  </si>
  <si>
    <t>Operating Costs</t>
  </si>
  <si>
    <t>Transportation: Truck rentals, rigging, dumpsters — scaled per project</t>
  </si>
  <si>
    <t>Storage: 1,000 sqft permanent climate-controlled warehouse — $4,500/month fixed lease</t>
  </si>
  <si>
    <t>Insurance: General liability + workers comp + professional — per project</t>
  </si>
  <si>
    <t>Certification: EPA, OSHA, NYC DOB permits — per project (incurred only during active projects)</t>
  </si>
  <si>
    <t>Staff meals &amp; travel: Per diem for crew + supervisor transportation — per project</t>
  </si>
  <si>
    <t>Overhead</t>
  </si>
  <si>
    <t>Owner salary: 2% of total annual revenue</t>
  </si>
  <si>
    <t>Accountant: $2,500/month ($5,000 in Mar/Apr for tax preparation)</t>
  </si>
  <si>
    <t>Attorney: Quarterly retainer — $4,500/quarter (Q1-Q3), $7,500 in Q4 for contract reviews</t>
  </si>
  <si>
    <t>Office &amp; Admin: $3,500/month (phone, software, office supplies)</t>
  </si>
  <si>
    <t>Tax Assumptions</t>
  </si>
  <si>
    <t>Federal Corporate Tax: 21%</t>
  </si>
  <si>
    <t>New York State Tax: 6.5%</t>
  </si>
  <si>
    <t>New York City Unincorporated Business Tax: 8.85%</t>
  </si>
  <si>
    <t>Combined Effective Rate: ~36.35%</t>
  </si>
  <si>
    <t>Taxes computed on EBITDA (simplified — no depreciation/amortization assets)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</si>
</sst>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10"/>
      <color rgb="FF666666"/>
      <name val="Arial"/>
      <charset val="1"/>
    </font>
    <font>
      <sz val="9"/>
      <color rgb="FF99999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i/>
      <sz val="9"/>
      <color rgb="FF666666"/>
      <name val="Arial"/>
      <charset val="1"/>
    </font>
    <font>
      <b/>
      <sz val="12"/>
      <color rgb="FF1F4E7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0" fillId="3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5" fillId="3" borderId="1" xfId="0" applyFont="1" applyFill="1" applyBorder="1"/>
    <xf numFmtId="1" fontId="5" fillId="3" borderId="1" xfId="0" applyNumberFormat="1" applyFont="1" applyFill="1" applyBorder="1"/>
    <xf numFmtId="164" fontId="6" fillId="0" borderId="1" xfId="0" applyNumberFormat="1" applyFont="1" applyBorder="1"/>
    <xf numFmtId="164" fontId="7" fillId="0" borderId="1" xfId="0" applyNumberFormat="1" applyFont="1" applyBorder="1"/>
    <xf numFmtId="164" fontId="7" fillId="4" borderId="1" xfId="0" applyNumberFormat="1" applyFont="1" applyFill="1" applyBorder="1"/>
    <xf numFmtId="164" fontId="7" fillId="5" borderId="1" xfId="0" applyNumberFormat="1" applyFont="1" applyFill="1" applyBorder="1"/>
    <xf numFmtId="165" fontId="7" fillId="0" borderId="1" xfId="0" applyNumberFormat="1" applyFont="1" applyBorder="1"/>
    <xf numFmtId="164" fontId="8" fillId="6" borderId="1" xfId="0" applyNumberFormat="1" applyFont="1" applyFill="1" applyBorder="1"/>
    <xf numFmtId="0" fontId="5" fillId="0" borderId="1" xfId="0" applyFont="1" applyBorder="1"/>
    <xf numFmtId="1" fontId="5" fillId="0" borderId="1" xfId="0" applyNumberFormat="1" applyFont="1" applyBorder="1"/>
    <xf numFmtId="0" fontId="8" fillId="0" borderId="0" xfId="0" applyFont="1"/>
    <xf numFmtId="164" fontId="8" fillId="0" borderId="2" xfId="0" applyNumberFormat="1" applyFont="1" applyBorder="1"/>
    <xf numFmtId="165" fontId="8" fillId="0" borderId="0" xfId="0" applyNumberFormat="1" applyFont="1"/>
    <xf numFmtId="0" fontId="6" fillId="0" borderId="1" xfId="0" applyFont="1" applyBorder="1"/>
    <xf numFmtId="0" fontId="8" fillId="0" borderId="1" xfId="0" applyFont="1" applyBorder="1"/>
    <xf numFmtId="0" fontId="0" fillId="0" borderId="1" xfId="0" applyBorder="1"/>
    <xf numFmtId="164" fontId="8" fillId="0" borderId="1" xfId="0" applyNumberFormat="1" applyFont="1" applyBorder="1"/>
    <xf numFmtId="165" fontId="0" fillId="0" borderId="1" xfId="0" applyNumberFormat="1" applyBorder="1"/>
    <xf numFmtId="164" fontId="8" fillId="5" borderId="1" xfId="0" applyNumberFormat="1" applyFont="1" applyFill="1" applyBorder="1"/>
    <xf numFmtId="0" fontId="8" fillId="0" borderId="2" xfId="0" applyFont="1" applyBorder="1"/>
    <xf numFmtId="0" fontId="0" fillId="0" borderId="2" xfId="0" applyBorder="1"/>
    <xf numFmtId="0" fontId="9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V45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 x14ac:dyDescent="0.3"/>
  <cols>
    <col min="1" max="1" width="14" customWidth="1"/>
    <col min="2" max="2" width="6" customWidth="1"/>
    <col min="3" max="3" width="18" customWidth="1"/>
    <col min="4" max="6" width="16" customWidth="1"/>
    <col min="7" max="7" width="14" customWidth="1"/>
    <col min="8" max="8" width="16" customWidth="1"/>
    <col min="9" max="9" width="18" customWidth="1"/>
    <col min="10" max="10" width="14" customWidth="1"/>
    <col min="11" max="11" width="18" customWidth="1"/>
    <col min="12" max="12" width="16" customWidth="1"/>
    <col min="13" max="13" width="18" customWidth="1"/>
    <col min="14" max="14" width="16" customWidth="1"/>
    <col min="15" max="15" width="14" customWidth="1"/>
    <col min="16" max="16" width="18" customWidth="1"/>
    <col min="17" max="19" width="14" customWidth="1"/>
    <col min="20" max="21" width="16" customWidth="1"/>
    <col min="22" max="22" width="14" customWidth="1"/>
  </cols>
  <sheetData>
    <row r="1" spans="1:22" ht="17.399999999999999" x14ac:dyDescent="0.3">
      <c r="A1" s="2" t="s">
        <v>0</v>
      </c>
      <c r="B1" s="2"/>
      <c r="C1" s="2"/>
      <c r="D1" s="2"/>
      <c r="E1" s="2"/>
      <c r="F1" s="2"/>
      <c r="G1" s="2"/>
    </row>
    <row r="2" spans="1:22" x14ac:dyDescent="0.3">
      <c r="A2" s="3" t="s">
        <v>1</v>
      </c>
    </row>
    <row r="3" spans="1:22" x14ac:dyDescent="0.3">
      <c r="A3" s="4" t="s">
        <v>2</v>
      </c>
    </row>
    <row r="5" spans="1:22" ht="28.2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" t="s">
        <v>24</v>
      </c>
    </row>
    <row r="6" spans="1:22" x14ac:dyDescent="0.3">
      <c r="A6" s="6" t="s">
        <v>25</v>
      </c>
      <c r="B6" s="7">
        <v>2023</v>
      </c>
      <c r="C6" s="8">
        <v>0</v>
      </c>
      <c r="D6" s="8">
        <v>0</v>
      </c>
      <c r="E6" s="9">
        <f t="shared" ref="E6:E44" si="0">C6+D6</f>
        <v>0</v>
      </c>
      <c r="F6" s="8">
        <v>0</v>
      </c>
      <c r="G6" s="8">
        <v>0</v>
      </c>
      <c r="H6" s="8">
        <v>0</v>
      </c>
      <c r="I6" s="8">
        <v>4500</v>
      </c>
      <c r="J6" s="8">
        <v>0</v>
      </c>
      <c r="K6" s="8">
        <v>0</v>
      </c>
      <c r="L6" s="8">
        <v>0</v>
      </c>
      <c r="M6" s="10">
        <f t="shared" ref="M6:M44" si="1">SUM(F6:L6)</f>
        <v>4500</v>
      </c>
      <c r="N6" s="11">
        <f t="shared" ref="N6:N44" si="2">E6-M6</f>
        <v>-4500</v>
      </c>
      <c r="O6" s="12">
        <f t="shared" ref="O6:O45" si="3">IF(E6=0,0,N6/E6)</f>
        <v>0</v>
      </c>
      <c r="P6" s="9">
        <f t="shared" ref="P6:P44" si="4">E6*0.02</f>
        <v>0</v>
      </c>
      <c r="Q6" s="8">
        <v>2500</v>
      </c>
      <c r="R6" s="8">
        <v>0</v>
      </c>
      <c r="S6" s="8">
        <v>3500</v>
      </c>
      <c r="T6" s="10">
        <f t="shared" ref="T6:T44" si="5">SUM(P6:S6)</f>
        <v>6000</v>
      </c>
      <c r="U6" s="13">
        <f t="shared" ref="U6:U44" si="6">N6-T6</f>
        <v>-10500</v>
      </c>
      <c r="V6" s="12">
        <f t="shared" ref="V6:V45" si="7">IF(E6=0,0,U6/E6)</f>
        <v>0</v>
      </c>
    </row>
    <row r="7" spans="1:22" x14ac:dyDescent="0.3">
      <c r="A7" s="14" t="s">
        <v>26</v>
      </c>
      <c r="B7" s="15">
        <v>2023</v>
      </c>
      <c r="C7" s="8">
        <v>0</v>
      </c>
      <c r="D7" s="8">
        <v>0</v>
      </c>
      <c r="E7" s="9">
        <f t="shared" si="0"/>
        <v>0</v>
      </c>
      <c r="F7" s="8">
        <v>187200</v>
      </c>
      <c r="G7" s="8">
        <v>68400</v>
      </c>
      <c r="H7" s="8">
        <v>24000</v>
      </c>
      <c r="I7" s="8">
        <v>4500</v>
      </c>
      <c r="J7" s="8">
        <v>16000</v>
      </c>
      <c r="K7" s="8">
        <v>7200</v>
      </c>
      <c r="L7" s="8">
        <v>2250</v>
      </c>
      <c r="M7" s="10">
        <f t="shared" si="1"/>
        <v>309550</v>
      </c>
      <c r="N7" s="11">
        <f t="shared" si="2"/>
        <v>-309550</v>
      </c>
      <c r="O7" s="12">
        <f t="shared" si="3"/>
        <v>0</v>
      </c>
      <c r="P7" s="9">
        <f t="shared" si="4"/>
        <v>0</v>
      </c>
      <c r="Q7" s="8">
        <v>2500</v>
      </c>
      <c r="R7" s="8">
        <v>0</v>
      </c>
      <c r="S7" s="8">
        <v>3500</v>
      </c>
      <c r="T7" s="10">
        <f t="shared" si="5"/>
        <v>6000</v>
      </c>
      <c r="U7" s="13">
        <f t="shared" si="6"/>
        <v>-315550</v>
      </c>
      <c r="V7" s="12">
        <f t="shared" si="7"/>
        <v>0</v>
      </c>
    </row>
    <row r="8" spans="1:22" x14ac:dyDescent="0.3">
      <c r="A8" s="6" t="s">
        <v>27</v>
      </c>
      <c r="B8" s="7">
        <v>2023</v>
      </c>
      <c r="C8" s="8">
        <v>735000</v>
      </c>
      <c r="D8" s="8">
        <v>8500</v>
      </c>
      <c r="E8" s="9">
        <f t="shared" si="0"/>
        <v>743500</v>
      </c>
      <c r="F8" s="8">
        <v>187200</v>
      </c>
      <c r="G8" s="8">
        <v>68400</v>
      </c>
      <c r="H8" s="8">
        <v>24000</v>
      </c>
      <c r="I8" s="8">
        <v>4500</v>
      </c>
      <c r="J8" s="8">
        <v>16000</v>
      </c>
      <c r="K8" s="8">
        <v>7200</v>
      </c>
      <c r="L8" s="8">
        <v>2250</v>
      </c>
      <c r="M8" s="10">
        <f t="shared" si="1"/>
        <v>309550</v>
      </c>
      <c r="N8" s="11">
        <f t="shared" si="2"/>
        <v>433950</v>
      </c>
      <c r="O8" s="12">
        <f t="shared" si="3"/>
        <v>0.58365837256220576</v>
      </c>
      <c r="P8" s="9">
        <f t="shared" si="4"/>
        <v>14870</v>
      </c>
      <c r="Q8" s="8">
        <v>5000</v>
      </c>
      <c r="R8" s="8">
        <v>4500</v>
      </c>
      <c r="S8" s="8">
        <v>3500</v>
      </c>
      <c r="T8" s="10">
        <f t="shared" si="5"/>
        <v>27870</v>
      </c>
      <c r="U8" s="13">
        <f t="shared" si="6"/>
        <v>406080</v>
      </c>
      <c r="V8" s="12">
        <f t="shared" si="7"/>
        <v>0.54617350369872231</v>
      </c>
    </row>
    <row r="9" spans="1:22" x14ac:dyDescent="0.3">
      <c r="A9" s="14" t="s">
        <v>28</v>
      </c>
      <c r="B9" s="15">
        <v>2023</v>
      </c>
      <c r="C9" s="8">
        <v>0</v>
      </c>
      <c r="D9" s="8">
        <v>0</v>
      </c>
      <c r="E9" s="9">
        <f t="shared" si="0"/>
        <v>0</v>
      </c>
      <c r="F9" s="8">
        <v>0</v>
      </c>
      <c r="G9" s="8">
        <v>0</v>
      </c>
      <c r="H9" s="8">
        <v>0</v>
      </c>
      <c r="I9" s="8">
        <v>4500</v>
      </c>
      <c r="J9" s="8">
        <v>0</v>
      </c>
      <c r="K9" s="8">
        <v>0</v>
      </c>
      <c r="L9" s="8">
        <v>0</v>
      </c>
      <c r="M9" s="10">
        <f t="shared" si="1"/>
        <v>4500</v>
      </c>
      <c r="N9" s="11">
        <f t="shared" si="2"/>
        <v>-4500</v>
      </c>
      <c r="O9" s="12">
        <f t="shared" si="3"/>
        <v>0</v>
      </c>
      <c r="P9" s="9">
        <f t="shared" si="4"/>
        <v>0</v>
      </c>
      <c r="Q9" s="8">
        <v>5000</v>
      </c>
      <c r="R9" s="8">
        <v>0</v>
      </c>
      <c r="S9" s="8">
        <v>3500</v>
      </c>
      <c r="T9" s="10">
        <f t="shared" si="5"/>
        <v>8500</v>
      </c>
      <c r="U9" s="13">
        <f t="shared" si="6"/>
        <v>-13000</v>
      </c>
      <c r="V9" s="12">
        <f t="shared" si="7"/>
        <v>0</v>
      </c>
    </row>
    <row r="10" spans="1:22" x14ac:dyDescent="0.3">
      <c r="A10" s="6" t="s">
        <v>29</v>
      </c>
      <c r="B10" s="7">
        <v>2023</v>
      </c>
      <c r="C10" s="8">
        <v>0</v>
      </c>
      <c r="D10" s="8">
        <v>0</v>
      </c>
      <c r="E10" s="9">
        <f t="shared" si="0"/>
        <v>0</v>
      </c>
      <c r="F10" s="8">
        <v>117000</v>
      </c>
      <c r="G10" s="8">
        <v>47500</v>
      </c>
      <c r="H10" s="8">
        <v>17500</v>
      </c>
      <c r="I10" s="8">
        <v>4500</v>
      </c>
      <c r="J10" s="8">
        <v>14000</v>
      </c>
      <c r="K10" s="8">
        <v>4500</v>
      </c>
      <c r="L10" s="8">
        <v>1900</v>
      </c>
      <c r="M10" s="10">
        <f t="shared" si="1"/>
        <v>206900</v>
      </c>
      <c r="N10" s="11">
        <f t="shared" si="2"/>
        <v>-206900</v>
      </c>
      <c r="O10" s="12">
        <f t="shared" si="3"/>
        <v>0</v>
      </c>
      <c r="P10" s="9">
        <f t="shared" si="4"/>
        <v>0</v>
      </c>
      <c r="Q10" s="8">
        <v>2500</v>
      </c>
      <c r="R10" s="8">
        <v>0</v>
      </c>
      <c r="S10" s="8">
        <v>3500</v>
      </c>
      <c r="T10" s="10">
        <f t="shared" si="5"/>
        <v>6000</v>
      </c>
      <c r="U10" s="13">
        <f t="shared" si="6"/>
        <v>-212900</v>
      </c>
      <c r="V10" s="12">
        <f t="shared" si="7"/>
        <v>0</v>
      </c>
    </row>
    <row r="11" spans="1:22" x14ac:dyDescent="0.3">
      <c r="A11" s="14" t="s">
        <v>30</v>
      </c>
      <c r="B11" s="15">
        <v>2023</v>
      </c>
      <c r="C11" s="8">
        <v>1535000</v>
      </c>
      <c r="D11" s="8">
        <v>22000</v>
      </c>
      <c r="E11" s="9">
        <f t="shared" si="0"/>
        <v>1557000</v>
      </c>
      <c r="F11" s="8">
        <v>117000</v>
      </c>
      <c r="G11" s="8">
        <v>47500</v>
      </c>
      <c r="H11" s="8">
        <v>17500</v>
      </c>
      <c r="I11" s="8">
        <v>4500</v>
      </c>
      <c r="J11" s="8">
        <v>14000</v>
      </c>
      <c r="K11" s="8">
        <v>4500</v>
      </c>
      <c r="L11" s="8">
        <v>1900</v>
      </c>
      <c r="M11" s="10">
        <f t="shared" si="1"/>
        <v>206900</v>
      </c>
      <c r="N11" s="11">
        <f t="shared" si="2"/>
        <v>1350100</v>
      </c>
      <c r="O11" s="12">
        <f t="shared" si="3"/>
        <v>0.867116249197174</v>
      </c>
      <c r="P11" s="9">
        <f t="shared" si="4"/>
        <v>31140</v>
      </c>
      <c r="Q11" s="8">
        <v>2500</v>
      </c>
      <c r="R11" s="8">
        <v>4500</v>
      </c>
      <c r="S11" s="8">
        <v>3500</v>
      </c>
      <c r="T11" s="10">
        <f t="shared" si="5"/>
        <v>41640</v>
      </c>
      <c r="U11" s="13">
        <f t="shared" si="6"/>
        <v>1308460</v>
      </c>
      <c r="V11" s="12">
        <f t="shared" si="7"/>
        <v>0.84037251123956325</v>
      </c>
    </row>
    <row r="12" spans="1:22" x14ac:dyDescent="0.3">
      <c r="A12" s="6" t="s">
        <v>31</v>
      </c>
      <c r="B12" s="7">
        <v>2023</v>
      </c>
      <c r="C12" s="8">
        <v>0</v>
      </c>
      <c r="D12" s="8">
        <v>0</v>
      </c>
      <c r="E12" s="9">
        <f t="shared" si="0"/>
        <v>0</v>
      </c>
      <c r="F12" s="8">
        <v>0</v>
      </c>
      <c r="G12" s="8">
        <v>0</v>
      </c>
      <c r="H12" s="8">
        <v>0</v>
      </c>
      <c r="I12" s="8">
        <v>4500</v>
      </c>
      <c r="J12" s="8">
        <v>0</v>
      </c>
      <c r="K12" s="8">
        <v>0</v>
      </c>
      <c r="L12" s="8">
        <v>0</v>
      </c>
      <c r="M12" s="10">
        <f t="shared" si="1"/>
        <v>4500</v>
      </c>
      <c r="N12" s="11">
        <f t="shared" si="2"/>
        <v>-4500</v>
      </c>
      <c r="O12" s="12">
        <f t="shared" si="3"/>
        <v>0</v>
      </c>
      <c r="P12" s="9">
        <f t="shared" si="4"/>
        <v>0</v>
      </c>
      <c r="Q12" s="8">
        <v>2500</v>
      </c>
      <c r="R12" s="8">
        <v>0</v>
      </c>
      <c r="S12" s="8">
        <v>3500</v>
      </c>
      <c r="T12" s="10">
        <f t="shared" si="5"/>
        <v>6000</v>
      </c>
      <c r="U12" s="13">
        <f t="shared" si="6"/>
        <v>-10500</v>
      </c>
      <c r="V12" s="12">
        <f t="shared" si="7"/>
        <v>0</v>
      </c>
    </row>
    <row r="13" spans="1:22" x14ac:dyDescent="0.3">
      <c r="A13" s="14" t="s">
        <v>32</v>
      </c>
      <c r="B13" s="15">
        <v>2023</v>
      </c>
      <c r="C13" s="8">
        <v>740000</v>
      </c>
      <c r="D13" s="8">
        <v>0</v>
      </c>
      <c r="E13" s="9">
        <f t="shared" si="0"/>
        <v>740000</v>
      </c>
      <c r="F13" s="8">
        <v>171600</v>
      </c>
      <c r="G13" s="8">
        <v>57000</v>
      </c>
      <c r="H13" s="8">
        <v>21000</v>
      </c>
      <c r="I13" s="8">
        <v>4500</v>
      </c>
      <c r="J13" s="8">
        <v>15000</v>
      </c>
      <c r="K13" s="8">
        <v>6600</v>
      </c>
      <c r="L13" s="8">
        <v>2100</v>
      </c>
      <c r="M13" s="10">
        <f t="shared" si="1"/>
        <v>277800</v>
      </c>
      <c r="N13" s="11">
        <f t="shared" si="2"/>
        <v>462200</v>
      </c>
      <c r="O13" s="12">
        <f t="shared" si="3"/>
        <v>0.62459459459459454</v>
      </c>
      <c r="P13" s="9">
        <f t="shared" si="4"/>
        <v>14800</v>
      </c>
      <c r="Q13" s="8">
        <v>2500</v>
      </c>
      <c r="R13" s="8">
        <v>0</v>
      </c>
      <c r="S13" s="8">
        <v>3500</v>
      </c>
      <c r="T13" s="10">
        <f t="shared" si="5"/>
        <v>20800</v>
      </c>
      <c r="U13" s="13">
        <f t="shared" si="6"/>
        <v>441400</v>
      </c>
      <c r="V13" s="12">
        <f t="shared" si="7"/>
        <v>0.5964864864864865</v>
      </c>
    </row>
    <row r="14" spans="1:22" x14ac:dyDescent="0.3">
      <c r="A14" s="6" t="s">
        <v>33</v>
      </c>
      <c r="B14" s="7">
        <v>2023</v>
      </c>
      <c r="C14" s="8">
        <v>1365000</v>
      </c>
      <c r="D14" s="8">
        <v>15000</v>
      </c>
      <c r="E14" s="9">
        <f t="shared" si="0"/>
        <v>1380000</v>
      </c>
      <c r="F14" s="8">
        <v>171600</v>
      </c>
      <c r="G14" s="8">
        <v>57000</v>
      </c>
      <c r="H14" s="8">
        <v>21000</v>
      </c>
      <c r="I14" s="8">
        <v>4500</v>
      </c>
      <c r="J14" s="8">
        <v>15000</v>
      </c>
      <c r="K14" s="8">
        <v>6600</v>
      </c>
      <c r="L14" s="8">
        <v>2100</v>
      </c>
      <c r="M14" s="10">
        <f t="shared" si="1"/>
        <v>277800</v>
      </c>
      <c r="N14" s="11">
        <f t="shared" si="2"/>
        <v>1102200</v>
      </c>
      <c r="O14" s="12">
        <f t="shared" si="3"/>
        <v>0.79869565217391303</v>
      </c>
      <c r="P14" s="9">
        <f t="shared" si="4"/>
        <v>27600</v>
      </c>
      <c r="Q14" s="8">
        <v>2500</v>
      </c>
      <c r="R14" s="8">
        <v>4500</v>
      </c>
      <c r="S14" s="8">
        <v>3500</v>
      </c>
      <c r="T14" s="10">
        <f t="shared" si="5"/>
        <v>38100</v>
      </c>
      <c r="U14" s="13">
        <f t="shared" si="6"/>
        <v>1064100</v>
      </c>
      <c r="V14" s="12">
        <f t="shared" si="7"/>
        <v>0.77108695652173909</v>
      </c>
    </row>
    <row r="15" spans="1:22" x14ac:dyDescent="0.3">
      <c r="A15" s="14" t="s">
        <v>34</v>
      </c>
      <c r="B15" s="15">
        <v>2023</v>
      </c>
      <c r="C15" s="8">
        <v>0</v>
      </c>
      <c r="D15" s="8">
        <v>0</v>
      </c>
      <c r="E15" s="9">
        <f t="shared" si="0"/>
        <v>0</v>
      </c>
      <c r="F15" s="8">
        <v>0</v>
      </c>
      <c r="G15" s="8">
        <v>0</v>
      </c>
      <c r="H15" s="8">
        <v>0</v>
      </c>
      <c r="I15" s="8">
        <v>4500</v>
      </c>
      <c r="J15" s="8">
        <v>0</v>
      </c>
      <c r="K15" s="8">
        <v>0</v>
      </c>
      <c r="L15" s="8">
        <v>0</v>
      </c>
      <c r="M15" s="10">
        <f t="shared" si="1"/>
        <v>4500</v>
      </c>
      <c r="N15" s="11">
        <f t="shared" si="2"/>
        <v>-4500</v>
      </c>
      <c r="O15" s="12">
        <f t="shared" si="3"/>
        <v>0</v>
      </c>
      <c r="P15" s="9">
        <f t="shared" si="4"/>
        <v>0</v>
      </c>
      <c r="Q15" s="8">
        <v>2500</v>
      </c>
      <c r="R15" s="8">
        <v>0</v>
      </c>
      <c r="S15" s="8">
        <v>3500</v>
      </c>
      <c r="T15" s="10">
        <f t="shared" si="5"/>
        <v>6000</v>
      </c>
      <c r="U15" s="13">
        <f t="shared" si="6"/>
        <v>-10500</v>
      </c>
      <c r="V15" s="12">
        <f t="shared" si="7"/>
        <v>0</v>
      </c>
    </row>
    <row r="16" spans="1:22" x14ac:dyDescent="0.3">
      <c r="A16" s="6" t="s">
        <v>35</v>
      </c>
      <c r="B16" s="7">
        <v>2023</v>
      </c>
      <c r="C16" s="8">
        <v>555000</v>
      </c>
      <c r="D16" s="8">
        <v>0</v>
      </c>
      <c r="E16" s="9">
        <f t="shared" si="0"/>
        <v>555000</v>
      </c>
      <c r="F16" s="8">
        <v>218400</v>
      </c>
      <c r="G16" s="8">
        <v>79800</v>
      </c>
      <c r="H16" s="8">
        <v>28000</v>
      </c>
      <c r="I16" s="8">
        <v>4500</v>
      </c>
      <c r="J16" s="8">
        <v>19000</v>
      </c>
      <c r="K16" s="8">
        <v>8400</v>
      </c>
      <c r="L16" s="8">
        <v>2600</v>
      </c>
      <c r="M16" s="10">
        <f t="shared" si="1"/>
        <v>360700</v>
      </c>
      <c r="N16" s="11">
        <f t="shared" si="2"/>
        <v>194300</v>
      </c>
      <c r="O16" s="12">
        <f t="shared" si="3"/>
        <v>0.35009009009009007</v>
      </c>
      <c r="P16" s="9">
        <f t="shared" si="4"/>
        <v>11100</v>
      </c>
      <c r="Q16" s="8">
        <v>2500</v>
      </c>
      <c r="R16" s="8">
        <v>0</v>
      </c>
      <c r="S16" s="8">
        <v>3500</v>
      </c>
      <c r="T16" s="10">
        <f t="shared" si="5"/>
        <v>17100</v>
      </c>
      <c r="U16" s="13">
        <f t="shared" si="6"/>
        <v>177200</v>
      </c>
      <c r="V16" s="12">
        <f t="shared" si="7"/>
        <v>0.31927927927927929</v>
      </c>
    </row>
    <row r="17" spans="1:22" x14ac:dyDescent="0.3">
      <c r="A17" s="14" t="s">
        <v>36</v>
      </c>
      <c r="B17" s="15">
        <v>2023</v>
      </c>
      <c r="C17" s="8">
        <v>1680000</v>
      </c>
      <c r="D17" s="8">
        <v>35000</v>
      </c>
      <c r="E17" s="9">
        <f t="shared" si="0"/>
        <v>1715000</v>
      </c>
      <c r="F17" s="8">
        <v>218400</v>
      </c>
      <c r="G17" s="8">
        <v>79800</v>
      </c>
      <c r="H17" s="8">
        <v>28000</v>
      </c>
      <c r="I17" s="8">
        <v>4500</v>
      </c>
      <c r="J17" s="8">
        <v>19000</v>
      </c>
      <c r="K17" s="8">
        <v>8400</v>
      </c>
      <c r="L17" s="8">
        <v>2600</v>
      </c>
      <c r="M17" s="10">
        <f t="shared" si="1"/>
        <v>360700</v>
      </c>
      <c r="N17" s="11">
        <f t="shared" si="2"/>
        <v>1354300</v>
      </c>
      <c r="O17" s="12">
        <f t="shared" si="3"/>
        <v>0.78967930029154521</v>
      </c>
      <c r="P17" s="9">
        <f t="shared" si="4"/>
        <v>34300</v>
      </c>
      <c r="Q17" s="8">
        <v>2500</v>
      </c>
      <c r="R17" s="8">
        <v>7500</v>
      </c>
      <c r="S17" s="8">
        <v>3500</v>
      </c>
      <c r="T17" s="10">
        <f t="shared" si="5"/>
        <v>47800</v>
      </c>
      <c r="U17" s="13">
        <f t="shared" si="6"/>
        <v>1306500</v>
      </c>
      <c r="V17" s="12">
        <f t="shared" si="7"/>
        <v>0.76180758017492711</v>
      </c>
    </row>
    <row r="18" spans="1:22" x14ac:dyDescent="0.3">
      <c r="A18" s="6" t="s">
        <v>25</v>
      </c>
      <c r="B18" s="7">
        <v>2024</v>
      </c>
      <c r="C18" s="8">
        <v>0</v>
      </c>
      <c r="D18" s="8">
        <v>0</v>
      </c>
      <c r="E18" s="9">
        <f t="shared" si="0"/>
        <v>0</v>
      </c>
      <c r="F18" s="8">
        <v>0</v>
      </c>
      <c r="G18" s="8">
        <v>0</v>
      </c>
      <c r="H18" s="8">
        <v>0</v>
      </c>
      <c r="I18" s="8">
        <v>4500</v>
      </c>
      <c r="J18" s="8">
        <v>0</v>
      </c>
      <c r="K18" s="8">
        <v>0</v>
      </c>
      <c r="L18" s="8">
        <v>0</v>
      </c>
      <c r="M18" s="10">
        <f t="shared" si="1"/>
        <v>4500</v>
      </c>
      <c r="N18" s="11">
        <f t="shared" si="2"/>
        <v>-4500</v>
      </c>
      <c r="O18" s="12">
        <f t="shared" si="3"/>
        <v>0</v>
      </c>
      <c r="P18" s="9">
        <f t="shared" si="4"/>
        <v>0</v>
      </c>
      <c r="Q18" s="8">
        <v>2500</v>
      </c>
      <c r="R18" s="8">
        <v>0</v>
      </c>
      <c r="S18" s="8">
        <v>3500</v>
      </c>
      <c r="T18" s="10">
        <f t="shared" si="5"/>
        <v>6000</v>
      </c>
      <c r="U18" s="13">
        <f t="shared" si="6"/>
        <v>-10500</v>
      </c>
      <c r="V18" s="12">
        <f t="shared" si="7"/>
        <v>0</v>
      </c>
    </row>
    <row r="19" spans="1:22" x14ac:dyDescent="0.3">
      <c r="A19" s="14" t="s">
        <v>26</v>
      </c>
      <c r="B19" s="15">
        <v>2024</v>
      </c>
      <c r="C19" s="8">
        <v>0</v>
      </c>
      <c r="D19" s="8">
        <v>0</v>
      </c>
      <c r="E19" s="9">
        <f t="shared" si="0"/>
        <v>0</v>
      </c>
      <c r="F19" s="8">
        <v>234000</v>
      </c>
      <c r="G19" s="8">
        <v>91200</v>
      </c>
      <c r="H19" s="8">
        <v>31000</v>
      </c>
      <c r="I19" s="8">
        <v>4500</v>
      </c>
      <c r="J19" s="8">
        <v>21000</v>
      </c>
      <c r="K19" s="8">
        <v>9000</v>
      </c>
      <c r="L19" s="8">
        <v>2750</v>
      </c>
      <c r="M19" s="10">
        <f t="shared" si="1"/>
        <v>393450</v>
      </c>
      <c r="N19" s="11">
        <f t="shared" si="2"/>
        <v>-393450</v>
      </c>
      <c r="O19" s="12">
        <f t="shared" si="3"/>
        <v>0</v>
      </c>
      <c r="P19" s="9">
        <f t="shared" si="4"/>
        <v>0</v>
      </c>
      <c r="Q19" s="8">
        <v>2500</v>
      </c>
      <c r="R19" s="8">
        <v>0</v>
      </c>
      <c r="S19" s="8">
        <v>3500</v>
      </c>
      <c r="T19" s="10">
        <f t="shared" si="5"/>
        <v>6000</v>
      </c>
      <c r="U19" s="13">
        <f t="shared" si="6"/>
        <v>-399450</v>
      </c>
      <c r="V19" s="12">
        <f t="shared" si="7"/>
        <v>0</v>
      </c>
    </row>
    <row r="20" spans="1:22" x14ac:dyDescent="0.3">
      <c r="A20" s="6" t="s">
        <v>27</v>
      </c>
      <c r="B20" s="7">
        <v>2024</v>
      </c>
      <c r="C20" s="8">
        <v>2680000</v>
      </c>
      <c r="D20" s="8">
        <v>12000</v>
      </c>
      <c r="E20" s="9">
        <f t="shared" si="0"/>
        <v>2692000</v>
      </c>
      <c r="F20" s="8">
        <v>234000</v>
      </c>
      <c r="G20" s="8">
        <v>91200</v>
      </c>
      <c r="H20" s="8">
        <v>31000</v>
      </c>
      <c r="I20" s="8">
        <v>4500</v>
      </c>
      <c r="J20" s="8">
        <v>21000</v>
      </c>
      <c r="K20" s="8">
        <v>9000</v>
      </c>
      <c r="L20" s="8">
        <v>2750</v>
      </c>
      <c r="M20" s="10">
        <f t="shared" si="1"/>
        <v>393450</v>
      </c>
      <c r="N20" s="11">
        <f t="shared" si="2"/>
        <v>2298550</v>
      </c>
      <c r="O20" s="12">
        <f t="shared" si="3"/>
        <v>0.85384472511144127</v>
      </c>
      <c r="P20" s="9">
        <f t="shared" si="4"/>
        <v>53840</v>
      </c>
      <c r="Q20" s="8">
        <v>5000</v>
      </c>
      <c r="R20" s="8">
        <v>4500</v>
      </c>
      <c r="S20" s="8">
        <v>3500</v>
      </c>
      <c r="T20" s="10">
        <f t="shared" si="5"/>
        <v>66840</v>
      </c>
      <c r="U20" s="13">
        <f t="shared" si="6"/>
        <v>2231710</v>
      </c>
      <c r="V20" s="12">
        <f t="shared" si="7"/>
        <v>0.82901560178306088</v>
      </c>
    </row>
    <row r="21" spans="1:22" x14ac:dyDescent="0.3">
      <c r="A21" s="14" t="s">
        <v>28</v>
      </c>
      <c r="B21" s="15">
        <v>2024</v>
      </c>
      <c r="C21" s="8">
        <v>0</v>
      </c>
      <c r="D21" s="8">
        <v>0</v>
      </c>
      <c r="E21" s="9">
        <f t="shared" si="0"/>
        <v>0</v>
      </c>
      <c r="F21" s="8">
        <v>0</v>
      </c>
      <c r="G21" s="8">
        <v>0</v>
      </c>
      <c r="H21" s="8">
        <v>0</v>
      </c>
      <c r="I21" s="8">
        <v>4500</v>
      </c>
      <c r="J21" s="8">
        <v>0</v>
      </c>
      <c r="K21" s="8">
        <v>0</v>
      </c>
      <c r="L21" s="8">
        <v>0</v>
      </c>
      <c r="M21" s="10">
        <f t="shared" si="1"/>
        <v>4500</v>
      </c>
      <c r="N21" s="11">
        <f t="shared" si="2"/>
        <v>-4500</v>
      </c>
      <c r="O21" s="12">
        <f t="shared" si="3"/>
        <v>0</v>
      </c>
      <c r="P21" s="9">
        <f t="shared" si="4"/>
        <v>0</v>
      </c>
      <c r="Q21" s="8">
        <v>5000</v>
      </c>
      <c r="R21" s="8">
        <v>0</v>
      </c>
      <c r="S21" s="8">
        <v>3500</v>
      </c>
      <c r="T21" s="10">
        <f t="shared" si="5"/>
        <v>8500</v>
      </c>
      <c r="U21" s="13">
        <f t="shared" si="6"/>
        <v>-13000</v>
      </c>
      <c r="V21" s="12">
        <f t="shared" si="7"/>
        <v>0</v>
      </c>
    </row>
    <row r="22" spans="1:22" x14ac:dyDescent="0.3">
      <c r="A22" s="6" t="s">
        <v>29</v>
      </c>
      <c r="B22" s="7">
        <v>2024</v>
      </c>
      <c r="C22" s="8">
        <v>0</v>
      </c>
      <c r="D22" s="8">
        <v>0</v>
      </c>
      <c r="E22" s="9">
        <f t="shared" si="0"/>
        <v>0</v>
      </c>
      <c r="F22" s="8">
        <v>104000</v>
      </c>
      <c r="G22" s="8">
        <v>38000</v>
      </c>
      <c r="H22" s="8">
        <v>16000</v>
      </c>
      <c r="I22" s="8">
        <v>4500</v>
      </c>
      <c r="J22" s="8">
        <v>12000</v>
      </c>
      <c r="K22" s="8">
        <v>4000</v>
      </c>
      <c r="L22" s="8">
        <v>1750</v>
      </c>
      <c r="M22" s="10">
        <f t="shared" si="1"/>
        <v>180250</v>
      </c>
      <c r="N22" s="11">
        <f t="shared" si="2"/>
        <v>-180250</v>
      </c>
      <c r="O22" s="12">
        <f t="shared" si="3"/>
        <v>0</v>
      </c>
      <c r="P22" s="9">
        <f t="shared" si="4"/>
        <v>0</v>
      </c>
      <c r="Q22" s="8">
        <v>2500</v>
      </c>
      <c r="R22" s="8">
        <v>0</v>
      </c>
      <c r="S22" s="8">
        <v>3500</v>
      </c>
      <c r="T22" s="10">
        <f t="shared" si="5"/>
        <v>6000</v>
      </c>
      <c r="U22" s="13">
        <f t="shared" si="6"/>
        <v>-186250</v>
      </c>
      <c r="V22" s="12">
        <f t="shared" si="7"/>
        <v>0</v>
      </c>
    </row>
    <row r="23" spans="1:22" x14ac:dyDescent="0.3">
      <c r="A23" s="14" t="s">
        <v>30</v>
      </c>
      <c r="B23" s="15">
        <v>2024</v>
      </c>
      <c r="C23" s="8">
        <v>2575000</v>
      </c>
      <c r="D23" s="8">
        <v>28000</v>
      </c>
      <c r="E23" s="9">
        <f t="shared" si="0"/>
        <v>2603000</v>
      </c>
      <c r="F23" s="8">
        <v>104000</v>
      </c>
      <c r="G23" s="8">
        <v>38000</v>
      </c>
      <c r="H23" s="8">
        <v>16000</v>
      </c>
      <c r="I23" s="8">
        <v>4500</v>
      </c>
      <c r="J23" s="8">
        <v>12000</v>
      </c>
      <c r="K23" s="8">
        <v>4000</v>
      </c>
      <c r="L23" s="8">
        <v>1750</v>
      </c>
      <c r="M23" s="10">
        <f t="shared" si="1"/>
        <v>180250</v>
      </c>
      <c r="N23" s="11">
        <f t="shared" si="2"/>
        <v>2422750</v>
      </c>
      <c r="O23" s="12">
        <f t="shared" si="3"/>
        <v>0.93075297733384554</v>
      </c>
      <c r="P23" s="9">
        <f t="shared" si="4"/>
        <v>52060</v>
      </c>
      <c r="Q23" s="8">
        <v>2500</v>
      </c>
      <c r="R23" s="8">
        <v>4500</v>
      </c>
      <c r="S23" s="8">
        <v>3500</v>
      </c>
      <c r="T23" s="10">
        <f t="shared" si="5"/>
        <v>62560</v>
      </c>
      <c r="U23" s="13">
        <f t="shared" si="6"/>
        <v>2360190</v>
      </c>
      <c r="V23" s="12">
        <f t="shared" si="7"/>
        <v>0.90671917018824433</v>
      </c>
    </row>
    <row r="24" spans="1:22" x14ac:dyDescent="0.3">
      <c r="A24" s="6" t="s">
        <v>31</v>
      </c>
      <c r="B24" s="7">
        <v>2024</v>
      </c>
      <c r="C24" s="8">
        <v>0</v>
      </c>
      <c r="D24" s="8">
        <v>0</v>
      </c>
      <c r="E24" s="9">
        <f t="shared" si="0"/>
        <v>0</v>
      </c>
      <c r="F24" s="8">
        <v>0</v>
      </c>
      <c r="G24" s="8">
        <v>0</v>
      </c>
      <c r="H24" s="8">
        <v>0</v>
      </c>
      <c r="I24" s="8">
        <v>4500</v>
      </c>
      <c r="J24" s="8">
        <v>0</v>
      </c>
      <c r="K24" s="8">
        <v>0</v>
      </c>
      <c r="L24" s="8">
        <v>0</v>
      </c>
      <c r="M24" s="10">
        <f t="shared" si="1"/>
        <v>4500</v>
      </c>
      <c r="N24" s="11">
        <f t="shared" si="2"/>
        <v>-4500</v>
      </c>
      <c r="O24" s="12">
        <f t="shared" si="3"/>
        <v>0</v>
      </c>
      <c r="P24" s="9">
        <f t="shared" si="4"/>
        <v>0</v>
      </c>
      <c r="Q24" s="8">
        <v>2500</v>
      </c>
      <c r="R24" s="8">
        <v>0</v>
      </c>
      <c r="S24" s="8">
        <v>3500</v>
      </c>
      <c r="T24" s="10">
        <f t="shared" si="5"/>
        <v>6000</v>
      </c>
      <c r="U24" s="13">
        <f t="shared" si="6"/>
        <v>-10500</v>
      </c>
      <c r="V24" s="12">
        <f t="shared" si="7"/>
        <v>0</v>
      </c>
    </row>
    <row r="25" spans="1:22" x14ac:dyDescent="0.3">
      <c r="A25" s="14" t="s">
        <v>32</v>
      </c>
      <c r="B25" s="15">
        <v>2024</v>
      </c>
      <c r="C25" s="8">
        <v>660000</v>
      </c>
      <c r="D25" s="8">
        <v>0</v>
      </c>
      <c r="E25" s="9">
        <f t="shared" si="0"/>
        <v>660000</v>
      </c>
      <c r="F25" s="8">
        <v>0</v>
      </c>
      <c r="G25" s="8">
        <v>0</v>
      </c>
      <c r="H25" s="8">
        <v>0</v>
      </c>
      <c r="I25" s="8">
        <v>4500</v>
      </c>
      <c r="J25" s="8">
        <v>0</v>
      </c>
      <c r="K25" s="8">
        <v>0</v>
      </c>
      <c r="L25" s="8">
        <v>0</v>
      </c>
      <c r="M25" s="10">
        <f t="shared" si="1"/>
        <v>4500</v>
      </c>
      <c r="N25" s="11">
        <f t="shared" si="2"/>
        <v>655500</v>
      </c>
      <c r="O25" s="12">
        <f t="shared" si="3"/>
        <v>0.99318181818181817</v>
      </c>
      <c r="P25" s="9">
        <f t="shared" si="4"/>
        <v>13200</v>
      </c>
      <c r="Q25" s="8">
        <v>2500</v>
      </c>
      <c r="R25" s="8">
        <v>0</v>
      </c>
      <c r="S25" s="8">
        <v>3500</v>
      </c>
      <c r="T25" s="10">
        <f t="shared" si="5"/>
        <v>19200</v>
      </c>
      <c r="U25" s="13">
        <f t="shared" si="6"/>
        <v>636300</v>
      </c>
      <c r="V25" s="12">
        <f t="shared" si="7"/>
        <v>0.96409090909090911</v>
      </c>
    </row>
    <row r="26" spans="1:22" x14ac:dyDescent="0.3">
      <c r="A26" s="6" t="s">
        <v>33</v>
      </c>
      <c r="B26" s="7">
        <v>2024</v>
      </c>
      <c r="C26" s="8">
        <v>930000</v>
      </c>
      <c r="D26" s="8">
        <v>18000</v>
      </c>
      <c r="E26" s="9">
        <f t="shared" si="0"/>
        <v>948000</v>
      </c>
      <c r="F26" s="8">
        <v>130000</v>
      </c>
      <c r="G26" s="8">
        <v>57000</v>
      </c>
      <c r="H26" s="8">
        <v>22000</v>
      </c>
      <c r="I26" s="8">
        <v>4500</v>
      </c>
      <c r="J26" s="8">
        <v>15500</v>
      </c>
      <c r="K26" s="8">
        <v>5000</v>
      </c>
      <c r="L26" s="8">
        <v>2000</v>
      </c>
      <c r="M26" s="10">
        <f t="shared" si="1"/>
        <v>236000</v>
      </c>
      <c r="N26" s="11">
        <f t="shared" si="2"/>
        <v>712000</v>
      </c>
      <c r="O26" s="12">
        <f t="shared" si="3"/>
        <v>0.75105485232067515</v>
      </c>
      <c r="P26" s="9">
        <f t="shared" si="4"/>
        <v>18960</v>
      </c>
      <c r="Q26" s="8">
        <v>2500</v>
      </c>
      <c r="R26" s="8">
        <v>4500</v>
      </c>
      <c r="S26" s="8">
        <v>3500</v>
      </c>
      <c r="T26" s="10">
        <f t="shared" si="5"/>
        <v>29460</v>
      </c>
      <c r="U26" s="13">
        <f t="shared" si="6"/>
        <v>682540</v>
      </c>
      <c r="V26" s="12">
        <f t="shared" si="7"/>
        <v>0.71997890295358646</v>
      </c>
    </row>
    <row r="27" spans="1:22" x14ac:dyDescent="0.3">
      <c r="A27" s="14" t="s">
        <v>34</v>
      </c>
      <c r="B27" s="15">
        <v>2024</v>
      </c>
      <c r="C27" s="8">
        <v>675000</v>
      </c>
      <c r="D27" s="8">
        <v>0</v>
      </c>
      <c r="E27" s="9">
        <f t="shared" si="0"/>
        <v>675000</v>
      </c>
      <c r="F27" s="8">
        <v>130000</v>
      </c>
      <c r="G27" s="8">
        <v>57000</v>
      </c>
      <c r="H27" s="8">
        <v>22000</v>
      </c>
      <c r="I27" s="8">
        <v>4500</v>
      </c>
      <c r="J27" s="8">
        <v>15500</v>
      </c>
      <c r="K27" s="8">
        <v>5000</v>
      </c>
      <c r="L27" s="8">
        <v>2000</v>
      </c>
      <c r="M27" s="10">
        <f t="shared" si="1"/>
        <v>236000</v>
      </c>
      <c r="N27" s="11">
        <f t="shared" si="2"/>
        <v>439000</v>
      </c>
      <c r="O27" s="12">
        <f t="shared" si="3"/>
        <v>0.65037037037037038</v>
      </c>
      <c r="P27" s="9">
        <f t="shared" si="4"/>
        <v>13500</v>
      </c>
      <c r="Q27" s="8">
        <v>2500</v>
      </c>
      <c r="R27" s="8">
        <v>0</v>
      </c>
      <c r="S27" s="8">
        <v>3500</v>
      </c>
      <c r="T27" s="10">
        <f t="shared" si="5"/>
        <v>19500</v>
      </c>
      <c r="U27" s="13">
        <f t="shared" si="6"/>
        <v>419500</v>
      </c>
      <c r="V27" s="12">
        <f t="shared" si="7"/>
        <v>0.62148148148148152</v>
      </c>
    </row>
    <row r="28" spans="1:22" x14ac:dyDescent="0.3">
      <c r="A28" s="6" t="s">
        <v>35</v>
      </c>
      <c r="B28" s="7">
        <v>2024</v>
      </c>
      <c r="C28" s="8">
        <v>495000</v>
      </c>
      <c r="D28" s="8">
        <v>0</v>
      </c>
      <c r="E28" s="9">
        <f t="shared" si="0"/>
        <v>495000</v>
      </c>
      <c r="F28" s="8">
        <v>0</v>
      </c>
      <c r="G28" s="8">
        <v>0</v>
      </c>
      <c r="H28" s="8">
        <v>0</v>
      </c>
      <c r="I28" s="8">
        <v>4500</v>
      </c>
      <c r="J28" s="8">
        <v>0</v>
      </c>
      <c r="K28" s="8">
        <v>0</v>
      </c>
      <c r="L28" s="8">
        <v>0</v>
      </c>
      <c r="M28" s="10">
        <f t="shared" si="1"/>
        <v>4500</v>
      </c>
      <c r="N28" s="11">
        <f t="shared" si="2"/>
        <v>490500</v>
      </c>
      <c r="O28" s="12">
        <f t="shared" si="3"/>
        <v>0.99090909090909096</v>
      </c>
      <c r="P28" s="9">
        <f t="shared" si="4"/>
        <v>9900</v>
      </c>
      <c r="Q28" s="8">
        <v>2500</v>
      </c>
      <c r="R28" s="8">
        <v>0</v>
      </c>
      <c r="S28" s="8">
        <v>3500</v>
      </c>
      <c r="T28" s="10">
        <f t="shared" si="5"/>
        <v>15900</v>
      </c>
      <c r="U28" s="13">
        <f t="shared" si="6"/>
        <v>474600</v>
      </c>
      <c r="V28" s="12">
        <f t="shared" si="7"/>
        <v>0.95878787878787874</v>
      </c>
    </row>
    <row r="29" spans="1:22" x14ac:dyDescent="0.3">
      <c r="A29" s="14" t="s">
        <v>36</v>
      </c>
      <c r="B29" s="15">
        <v>2024</v>
      </c>
      <c r="C29" s="8">
        <v>900000</v>
      </c>
      <c r="D29" s="8">
        <v>42000</v>
      </c>
      <c r="E29" s="9">
        <f t="shared" si="0"/>
        <v>942000</v>
      </c>
      <c r="F29" s="8">
        <v>0</v>
      </c>
      <c r="G29" s="8">
        <v>0</v>
      </c>
      <c r="H29" s="8">
        <v>0</v>
      </c>
      <c r="I29" s="8">
        <v>4500</v>
      </c>
      <c r="J29" s="8">
        <v>0</v>
      </c>
      <c r="K29" s="8">
        <v>0</v>
      </c>
      <c r="L29" s="8">
        <v>0</v>
      </c>
      <c r="M29" s="10">
        <f t="shared" si="1"/>
        <v>4500</v>
      </c>
      <c r="N29" s="11">
        <f t="shared" si="2"/>
        <v>937500</v>
      </c>
      <c r="O29" s="12">
        <f t="shared" si="3"/>
        <v>0.99522292993630568</v>
      </c>
      <c r="P29" s="9">
        <f t="shared" si="4"/>
        <v>18840</v>
      </c>
      <c r="Q29" s="8">
        <v>2500</v>
      </c>
      <c r="R29" s="8">
        <v>7500</v>
      </c>
      <c r="S29" s="8">
        <v>3500</v>
      </c>
      <c r="T29" s="10">
        <f t="shared" si="5"/>
        <v>32340</v>
      </c>
      <c r="U29" s="13">
        <f t="shared" si="6"/>
        <v>905160</v>
      </c>
      <c r="V29" s="12">
        <f t="shared" si="7"/>
        <v>0.96089171974522292</v>
      </c>
    </row>
    <row r="30" spans="1:22" x14ac:dyDescent="0.3">
      <c r="A30" s="6" t="s">
        <v>25</v>
      </c>
      <c r="B30" s="7">
        <v>2025</v>
      </c>
      <c r="C30" s="8">
        <v>0</v>
      </c>
      <c r="D30" s="8">
        <v>0</v>
      </c>
      <c r="E30" s="9">
        <f t="shared" si="0"/>
        <v>0</v>
      </c>
      <c r="F30" s="8">
        <v>156000</v>
      </c>
      <c r="G30" s="8">
        <v>57000</v>
      </c>
      <c r="H30" s="8">
        <v>19000</v>
      </c>
      <c r="I30" s="8">
        <v>4500</v>
      </c>
      <c r="J30" s="8">
        <v>14250</v>
      </c>
      <c r="K30" s="8">
        <v>6000</v>
      </c>
      <c r="L30" s="8">
        <v>1950</v>
      </c>
      <c r="M30" s="10">
        <f t="shared" si="1"/>
        <v>258700</v>
      </c>
      <c r="N30" s="11">
        <f t="shared" si="2"/>
        <v>-258700</v>
      </c>
      <c r="O30" s="12">
        <f t="shared" si="3"/>
        <v>0</v>
      </c>
      <c r="P30" s="9">
        <f t="shared" si="4"/>
        <v>0</v>
      </c>
      <c r="Q30" s="8">
        <v>2500</v>
      </c>
      <c r="R30" s="8">
        <v>0</v>
      </c>
      <c r="S30" s="8">
        <v>3500</v>
      </c>
      <c r="T30" s="10">
        <f t="shared" si="5"/>
        <v>6000</v>
      </c>
      <c r="U30" s="13">
        <f t="shared" si="6"/>
        <v>-264700</v>
      </c>
      <c r="V30" s="12">
        <f t="shared" si="7"/>
        <v>0</v>
      </c>
    </row>
    <row r="31" spans="1:22" x14ac:dyDescent="0.3">
      <c r="A31" s="14" t="s">
        <v>26</v>
      </c>
      <c r="B31" s="15">
        <v>2025</v>
      </c>
      <c r="C31" s="8">
        <v>585000</v>
      </c>
      <c r="D31" s="8">
        <v>0</v>
      </c>
      <c r="E31" s="9">
        <f t="shared" si="0"/>
        <v>585000</v>
      </c>
      <c r="F31" s="8">
        <v>156000</v>
      </c>
      <c r="G31" s="8">
        <v>57000</v>
      </c>
      <c r="H31" s="8">
        <v>19000</v>
      </c>
      <c r="I31" s="8">
        <v>4500</v>
      </c>
      <c r="J31" s="8">
        <v>14250</v>
      </c>
      <c r="K31" s="8">
        <v>6000</v>
      </c>
      <c r="L31" s="8">
        <v>1950</v>
      </c>
      <c r="M31" s="10">
        <f t="shared" si="1"/>
        <v>258700</v>
      </c>
      <c r="N31" s="11">
        <f t="shared" si="2"/>
        <v>326300</v>
      </c>
      <c r="O31" s="12">
        <f t="shared" si="3"/>
        <v>0.55777777777777782</v>
      </c>
      <c r="P31" s="9">
        <f t="shared" si="4"/>
        <v>11700</v>
      </c>
      <c r="Q31" s="8">
        <v>2500</v>
      </c>
      <c r="R31" s="8">
        <v>0</v>
      </c>
      <c r="S31" s="8">
        <v>3500</v>
      </c>
      <c r="T31" s="10">
        <f t="shared" si="5"/>
        <v>17700</v>
      </c>
      <c r="U31" s="13">
        <f t="shared" si="6"/>
        <v>308600</v>
      </c>
      <c r="V31" s="12">
        <f t="shared" si="7"/>
        <v>0.52752136752136747</v>
      </c>
    </row>
    <row r="32" spans="1:22" x14ac:dyDescent="0.3">
      <c r="A32" s="6" t="s">
        <v>27</v>
      </c>
      <c r="B32" s="7">
        <v>2025</v>
      </c>
      <c r="C32" s="8">
        <v>675000</v>
      </c>
      <c r="D32" s="8">
        <v>25000</v>
      </c>
      <c r="E32" s="9">
        <f t="shared" si="0"/>
        <v>700000</v>
      </c>
      <c r="F32" s="8">
        <v>202800</v>
      </c>
      <c r="G32" s="8">
        <v>79800</v>
      </c>
      <c r="H32" s="8">
        <v>27000</v>
      </c>
      <c r="I32" s="8">
        <v>4500</v>
      </c>
      <c r="J32" s="8">
        <v>18000</v>
      </c>
      <c r="K32" s="8">
        <v>7800</v>
      </c>
      <c r="L32" s="8">
        <v>2500</v>
      </c>
      <c r="M32" s="10">
        <f t="shared" si="1"/>
        <v>342400</v>
      </c>
      <c r="N32" s="11">
        <f t="shared" si="2"/>
        <v>357600</v>
      </c>
      <c r="O32" s="12">
        <f t="shared" si="3"/>
        <v>0.5108571428571429</v>
      </c>
      <c r="P32" s="9">
        <f t="shared" si="4"/>
        <v>14000</v>
      </c>
      <c r="Q32" s="8">
        <v>5000</v>
      </c>
      <c r="R32" s="8">
        <v>4500</v>
      </c>
      <c r="S32" s="8">
        <v>3500</v>
      </c>
      <c r="T32" s="10">
        <f t="shared" si="5"/>
        <v>27000</v>
      </c>
      <c r="U32" s="13">
        <f t="shared" si="6"/>
        <v>330600</v>
      </c>
      <c r="V32" s="12">
        <f t="shared" si="7"/>
        <v>0.47228571428571431</v>
      </c>
    </row>
    <row r="33" spans="1:22" x14ac:dyDescent="0.3">
      <c r="A33" s="14" t="s">
        <v>28</v>
      </c>
      <c r="B33" s="15">
        <v>2025</v>
      </c>
      <c r="C33" s="8">
        <v>810000</v>
      </c>
      <c r="D33" s="8">
        <v>0</v>
      </c>
      <c r="E33" s="9">
        <f t="shared" si="0"/>
        <v>810000</v>
      </c>
      <c r="F33" s="8">
        <v>202800</v>
      </c>
      <c r="G33" s="8">
        <v>79800</v>
      </c>
      <c r="H33" s="8">
        <v>27000</v>
      </c>
      <c r="I33" s="8">
        <v>4500</v>
      </c>
      <c r="J33" s="8">
        <v>18000</v>
      </c>
      <c r="K33" s="8">
        <v>7800</v>
      </c>
      <c r="L33" s="8">
        <v>2500</v>
      </c>
      <c r="M33" s="10">
        <f t="shared" si="1"/>
        <v>342400</v>
      </c>
      <c r="N33" s="11">
        <f t="shared" si="2"/>
        <v>467600</v>
      </c>
      <c r="O33" s="12">
        <f t="shared" si="3"/>
        <v>0.57728395061728399</v>
      </c>
      <c r="P33" s="9">
        <f t="shared" si="4"/>
        <v>16200</v>
      </c>
      <c r="Q33" s="8">
        <v>5000</v>
      </c>
      <c r="R33" s="8">
        <v>0</v>
      </c>
      <c r="S33" s="8">
        <v>3500</v>
      </c>
      <c r="T33" s="10">
        <f t="shared" si="5"/>
        <v>24700</v>
      </c>
      <c r="U33" s="13">
        <f t="shared" si="6"/>
        <v>442900</v>
      </c>
      <c r="V33" s="12">
        <f t="shared" si="7"/>
        <v>0.54679012345679012</v>
      </c>
    </row>
    <row r="34" spans="1:22" x14ac:dyDescent="0.3">
      <c r="A34" s="6" t="s">
        <v>29</v>
      </c>
      <c r="B34" s="7">
        <v>2025</v>
      </c>
      <c r="C34" s="8">
        <v>780000</v>
      </c>
      <c r="D34" s="8">
        <v>0</v>
      </c>
      <c r="E34" s="9">
        <f t="shared" si="0"/>
        <v>780000</v>
      </c>
      <c r="F34" s="8">
        <v>0</v>
      </c>
      <c r="G34" s="8">
        <v>0</v>
      </c>
      <c r="H34" s="8">
        <v>0</v>
      </c>
      <c r="I34" s="8">
        <v>4500</v>
      </c>
      <c r="J34" s="8">
        <v>0</v>
      </c>
      <c r="K34" s="8">
        <v>0</v>
      </c>
      <c r="L34" s="8">
        <v>0</v>
      </c>
      <c r="M34" s="10">
        <f t="shared" si="1"/>
        <v>4500</v>
      </c>
      <c r="N34" s="11">
        <f t="shared" si="2"/>
        <v>775500</v>
      </c>
      <c r="O34" s="12">
        <f t="shared" si="3"/>
        <v>0.99423076923076925</v>
      </c>
      <c r="P34" s="9">
        <f t="shared" si="4"/>
        <v>15600</v>
      </c>
      <c r="Q34" s="8">
        <v>2500</v>
      </c>
      <c r="R34" s="8">
        <v>0</v>
      </c>
      <c r="S34" s="8">
        <v>3500</v>
      </c>
      <c r="T34" s="10">
        <f t="shared" si="5"/>
        <v>21600</v>
      </c>
      <c r="U34" s="13">
        <f t="shared" si="6"/>
        <v>753900</v>
      </c>
      <c r="V34" s="12">
        <f t="shared" si="7"/>
        <v>0.96653846153846157</v>
      </c>
    </row>
    <row r="35" spans="1:22" x14ac:dyDescent="0.3">
      <c r="A35" s="14" t="s">
        <v>30</v>
      </c>
      <c r="B35" s="15">
        <v>2025</v>
      </c>
      <c r="C35" s="8">
        <v>0</v>
      </c>
      <c r="D35" s="8">
        <v>38000</v>
      </c>
      <c r="E35" s="9">
        <f t="shared" si="0"/>
        <v>38000</v>
      </c>
      <c r="F35" s="8">
        <v>0</v>
      </c>
      <c r="G35" s="8">
        <v>0</v>
      </c>
      <c r="H35" s="8">
        <v>0</v>
      </c>
      <c r="I35" s="8">
        <v>4500</v>
      </c>
      <c r="J35" s="8">
        <v>0</v>
      </c>
      <c r="K35" s="8">
        <v>0</v>
      </c>
      <c r="L35" s="8">
        <v>0</v>
      </c>
      <c r="M35" s="10">
        <f t="shared" si="1"/>
        <v>4500</v>
      </c>
      <c r="N35" s="11">
        <f t="shared" si="2"/>
        <v>33500</v>
      </c>
      <c r="O35" s="12">
        <f t="shared" si="3"/>
        <v>0.88157894736842102</v>
      </c>
      <c r="P35" s="9">
        <f t="shared" si="4"/>
        <v>760</v>
      </c>
      <c r="Q35" s="8">
        <v>2500</v>
      </c>
      <c r="R35" s="8">
        <v>4500</v>
      </c>
      <c r="S35" s="8">
        <v>3500</v>
      </c>
      <c r="T35" s="10">
        <f t="shared" si="5"/>
        <v>11260</v>
      </c>
      <c r="U35" s="13">
        <f t="shared" si="6"/>
        <v>22240</v>
      </c>
      <c r="V35" s="12">
        <f t="shared" si="7"/>
        <v>0.58526315789473682</v>
      </c>
    </row>
    <row r="36" spans="1:22" x14ac:dyDescent="0.3">
      <c r="A36" s="6" t="s">
        <v>31</v>
      </c>
      <c r="B36" s="7">
        <v>2025</v>
      </c>
      <c r="C36" s="8">
        <v>1080000</v>
      </c>
      <c r="D36" s="8">
        <v>0</v>
      </c>
      <c r="E36" s="9">
        <f t="shared" si="0"/>
        <v>1080000</v>
      </c>
      <c r="F36" s="8">
        <v>249600</v>
      </c>
      <c r="G36" s="8">
        <v>91200</v>
      </c>
      <c r="H36" s="8">
        <v>32000</v>
      </c>
      <c r="I36" s="8">
        <v>4500</v>
      </c>
      <c r="J36" s="8">
        <v>22000</v>
      </c>
      <c r="K36" s="8">
        <v>9600</v>
      </c>
      <c r="L36" s="8">
        <v>2900</v>
      </c>
      <c r="M36" s="10">
        <f t="shared" si="1"/>
        <v>411800</v>
      </c>
      <c r="N36" s="11">
        <f t="shared" si="2"/>
        <v>668200</v>
      </c>
      <c r="O36" s="12">
        <f t="shared" si="3"/>
        <v>0.61870370370370376</v>
      </c>
      <c r="P36" s="9">
        <f t="shared" si="4"/>
        <v>21600</v>
      </c>
      <c r="Q36" s="8">
        <v>2500</v>
      </c>
      <c r="R36" s="8">
        <v>0</v>
      </c>
      <c r="S36" s="8">
        <v>3500</v>
      </c>
      <c r="T36" s="10">
        <f t="shared" si="5"/>
        <v>27600</v>
      </c>
      <c r="U36" s="13">
        <f t="shared" si="6"/>
        <v>640600</v>
      </c>
      <c r="V36" s="12">
        <f t="shared" si="7"/>
        <v>0.5931481481481482</v>
      </c>
    </row>
    <row r="37" spans="1:22" x14ac:dyDescent="0.3">
      <c r="A37" s="14" t="s">
        <v>32</v>
      </c>
      <c r="B37" s="15">
        <v>2025</v>
      </c>
      <c r="C37" s="8">
        <v>1545000</v>
      </c>
      <c r="D37" s="8">
        <v>0</v>
      </c>
      <c r="E37" s="9">
        <f t="shared" si="0"/>
        <v>1545000</v>
      </c>
      <c r="F37" s="8">
        <v>249600</v>
      </c>
      <c r="G37" s="8">
        <v>91200</v>
      </c>
      <c r="H37" s="8">
        <v>32000</v>
      </c>
      <c r="I37" s="8">
        <v>4500</v>
      </c>
      <c r="J37" s="8">
        <v>22000</v>
      </c>
      <c r="K37" s="8">
        <v>9600</v>
      </c>
      <c r="L37" s="8">
        <v>2900</v>
      </c>
      <c r="M37" s="10">
        <f t="shared" si="1"/>
        <v>411800</v>
      </c>
      <c r="N37" s="11">
        <f t="shared" si="2"/>
        <v>1133200</v>
      </c>
      <c r="O37" s="12">
        <f t="shared" si="3"/>
        <v>0.73346278317152103</v>
      </c>
      <c r="P37" s="9">
        <f t="shared" si="4"/>
        <v>30900</v>
      </c>
      <c r="Q37" s="8">
        <v>2500</v>
      </c>
      <c r="R37" s="8">
        <v>0</v>
      </c>
      <c r="S37" s="8">
        <v>3500</v>
      </c>
      <c r="T37" s="10">
        <f t="shared" si="5"/>
        <v>36900</v>
      </c>
      <c r="U37" s="13">
        <f t="shared" si="6"/>
        <v>1096300</v>
      </c>
      <c r="V37" s="12">
        <f t="shared" si="7"/>
        <v>0.70957928802588999</v>
      </c>
    </row>
    <row r="38" spans="1:22" x14ac:dyDescent="0.3">
      <c r="A38" s="6" t="s">
        <v>33</v>
      </c>
      <c r="B38" s="7">
        <v>2025</v>
      </c>
      <c r="C38" s="8">
        <v>0</v>
      </c>
      <c r="D38" s="8">
        <v>20000</v>
      </c>
      <c r="E38" s="9">
        <f t="shared" si="0"/>
        <v>20000</v>
      </c>
      <c r="F38" s="8">
        <v>0</v>
      </c>
      <c r="G38" s="8">
        <v>0</v>
      </c>
      <c r="H38" s="8">
        <v>0</v>
      </c>
      <c r="I38" s="8">
        <v>4500</v>
      </c>
      <c r="J38" s="8">
        <v>0</v>
      </c>
      <c r="K38" s="8">
        <v>0</v>
      </c>
      <c r="L38" s="8">
        <v>0</v>
      </c>
      <c r="M38" s="10">
        <f t="shared" si="1"/>
        <v>4500</v>
      </c>
      <c r="N38" s="11">
        <f t="shared" si="2"/>
        <v>15500</v>
      </c>
      <c r="O38" s="12">
        <f t="shared" si="3"/>
        <v>0.77500000000000002</v>
      </c>
      <c r="P38" s="9">
        <f t="shared" si="4"/>
        <v>400</v>
      </c>
      <c r="Q38" s="8">
        <v>2500</v>
      </c>
      <c r="R38" s="8">
        <v>4500</v>
      </c>
      <c r="S38" s="8">
        <v>3500</v>
      </c>
      <c r="T38" s="10">
        <f t="shared" si="5"/>
        <v>10900</v>
      </c>
      <c r="U38" s="13">
        <f t="shared" si="6"/>
        <v>4600</v>
      </c>
      <c r="V38" s="12">
        <f t="shared" si="7"/>
        <v>0.23</v>
      </c>
    </row>
    <row r="39" spans="1:22" x14ac:dyDescent="0.3">
      <c r="A39" s="14" t="s">
        <v>34</v>
      </c>
      <c r="B39" s="15">
        <v>2025</v>
      </c>
      <c r="C39" s="8">
        <v>810000</v>
      </c>
      <c r="D39" s="8">
        <v>0</v>
      </c>
      <c r="E39" s="9">
        <f t="shared" si="0"/>
        <v>810000</v>
      </c>
      <c r="F39" s="8">
        <v>156000</v>
      </c>
      <c r="G39" s="8">
        <v>57000</v>
      </c>
      <c r="H39" s="8">
        <v>24000</v>
      </c>
      <c r="I39" s="8">
        <v>4500</v>
      </c>
      <c r="J39" s="8">
        <v>17000</v>
      </c>
      <c r="K39" s="8">
        <v>6000</v>
      </c>
      <c r="L39" s="8">
        <v>2300</v>
      </c>
      <c r="M39" s="10">
        <f t="shared" si="1"/>
        <v>266800</v>
      </c>
      <c r="N39" s="11">
        <f t="shared" si="2"/>
        <v>543200</v>
      </c>
      <c r="O39" s="12">
        <f t="shared" si="3"/>
        <v>0.67061728395061726</v>
      </c>
      <c r="P39" s="9">
        <f t="shared" si="4"/>
        <v>16200</v>
      </c>
      <c r="Q39" s="8">
        <v>2500</v>
      </c>
      <c r="R39" s="8">
        <v>0</v>
      </c>
      <c r="S39" s="8">
        <v>3500</v>
      </c>
      <c r="T39" s="10">
        <f t="shared" si="5"/>
        <v>22200</v>
      </c>
      <c r="U39" s="13">
        <f t="shared" si="6"/>
        <v>521000</v>
      </c>
      <c r="V39" s="12">
        <f t="shared" si="7"/>
        <v>0.64320987654320982</v>
      </c>
    </row>
    <row r="40" spans="1:22" x14ac:dyDescent="0.3">
      <c r="A40" s="6" t="s">
        <v>35</v>
      </c>
      <c r="B40" s="7">
        <v>2025</v>
      </c>
      <c r="C40" s="8">
        <v>2030000</v>
      </c>
      <c r="D40" s="8">
        <v>0</v>
      </c>
      <c r="E40" s="9">
        <f t="shared" si="0"/>
        <v>2030000</v>
      </c>
      <c r="F40" s="8">
        <v>156000</v>
      </c>
      <c r="G40" s="8">
        <v>57000</v>
      </c>
      <c r="H40" s="8">
        <v>24000</v>
      </c>
      <c r="I40" s="8">
        <v>4500</v>
      </c>
      <c r="J40" s="8">
        <v>17000</v>
      </c>
      <c r="K40" s="8">
        <v>6000</v>
      </c>
      <c r="L40" s="8">
        <v>2300</v>
      </c>
      <c r="M40" s="10">
        <f t="shared" si="1"/>
        <v>266800</v>
      </c>
      <c r="N40" s="11">
        <f t="shared" si="2"/>
        <v>1763200</v>
      </c>
      <c r="O40" s="12">
        <f t="shared" si="3"/>
        <v>0.86857142857142855</v>
      </c>
      <c r="P40" s="9">
        <f t="shared" si="4"/>
        <v>40600</v>
      </c>
      <c r="Q40" s="8">
        <v>2500</v>
      </c>
      <c r="R40" s="8">
        <v>0</v>
      </c>
      <c r="S40" s="8">
        <v>3500</v>
      </c>
      <c r="T40" s="10">
        <f t="shared" si="5"/>
        <v>46600</v>
      </c>
      <c r="U40" s="13">
        <f t="shared" si="6"/>
        <v>1716600</v>
      </c>
      <c r="V40" s="12">
        <f t="shared" si="7"/>
        <v>0.84561576354679802</v>
      </c>
    </row>
    <row r="41" spans="1:22" x14ac:dyDescent="0.3">
      <c r="A41" s="14" t="s">
        <v>36</v>
      </c>
      <c r="B41" s="15">
        <v>2025</v>
      </c>
      <c r="C41" s="8">
        <v>0</v>
      </c>
      <c r="D41" s="8">
        <v>45000</v>
      </c>
      <c r="E41" s="9">
        <f t="shared" si="0"/>
        <v>45000</v>
      </c>
      <c r="F41" s="8">
        <v>0</v>
      </c>
      <c r="G41" s="8">
        <v>0</v>
      </c>
      <c r="H41" s="8">
        <v>0</v>
      </c>
      <c r="I41" s="8">
        <v>4500</v>
      </c>
      <c r="J41" s="8">
        <v>0</v>
      </c>
      <c r="K41" s="8">
        <v>0</v>
      </c>
      <c r="L41" s="8">
        <v>0</v>
      </c>
      <c r="M41" s="10">
        <f t="shared" si="1"/>
        <v>4500</v>
      </c>
      <c r="N41" s="11">
        <f t="shared" si="2"/>
        <v>40500</v>
      </c>
      <c r="O41" s="12">
        <f t="shared" si="3"/>
        <v>0.9</v>
      </c>
      <c r="P41" s="9">
        <f t="shared" si="4"/>
        <v>900</v>
      </c>
      <c r="Q41" s="8">
        <v>2500</v>
      </c>
      <c r="R41" s="8">
        <v>7500</v>
      </c>
      <c r="S41" s="8">
        <v>3500</v>
      </c>
      <c r="T41" s="10">
        <f t="shared" si="5"/>
        <v>14400</v>
      </c>
      <c r="U41" s="13">
        <f t="shared" si="6"/>
        <v>26100</v>
      </c>
      <c r="V41" s="12">
        <f t="shared" si="7"/>
        <v>0.57999999999999996</v>
      </c>
    </row>
    <row r="42" spans="1:22" x14ac:dyDescent="0.3">
      <c r="A42" s="6" t="s">
        <v>25</v>
      </c>
      <c r="B42" s="7">
        <v>2026</v>
      </c>
      <c r="C42" s="8">
        <v>1000000</v>
      </c>
      <c r="D42" s="8">
        <v>0</v>
      </c>
      <c r="E42" s="9">
        <f t="shared" si="0"/>
        <v>1000000</v>
      </c>
      <c r="F42" s="8">
        <v>117000</v>
      </c>
      <c r="G42" s="8">
        <v>38000</v>
      </c>
      <c r="H42" s="8">
        <v>18000</v>
      </c>
      <c r="I42" s="8">
        <v>4500</v>
      </c>
      <c r="J42" s="8">
        <v>13000</v>
      </c>
      <c r="K42" s="8">
        <v>4500</v>
      </c>
      <c r="L42" s="8">
        <v>1800</v>
      </c>
      <c r="M42" s="10">
        <f t="shared" si="1"/>
        <v>196800</v>
      </c>
      <c r="N42" s="11">
        <f t="shared" si="2"/>
        <v>803200</v>
      </c>
      <c r="O42" s="12">
        <f t="shared" si="3"/>
        <v>0.80320000000000003</v>
      </c>
      <c r="P42" s="9">
        <f t="shared" si="4"/>
        <v>20000</v>
      </c>
      <c r="Q42" s="8">
        <v>2500</v>
      </c>
      <c r="R42" s="8">
        <v>0</v>
      </c>
      <c r="S42" s="8">
        <v>3500</v>
      </c>
      <c r="T42" s="10">
        <f t="shared" si="5"/>
        <v>26000</v>
      </c>
      <c r="U42" s="13">
        <f t="shared" si="6"/>
        <v>777200</v>
      </c>
      <c r="V42" s="12">
        <f t="shared" si="7"/>
        <v>0.7772</v>
      </c>
    </row>
    <row r="43" spans="1:22" x14ac:dyDescent="0.3">
      <c r="A43" s="14" t="s">
        <v>26</v>
      </c>
      <c r="B43" s="15">
        <v>2026</v>
      </c>
      <c r="C43" s="8">
        <v>1500000</v>
      </c>
      <c r="D43" s="8">
        <v>0</v>
      </c>
      <c r="E43" s="9">
        <f t="shared" si="0"/>
        <v>1500000</v>
      </c>
      <c r="F43" s="8">
        <v>335400</v>
      </c>
      <c r="G43" s="8">
        <v>117800</v>
      </c>
      <c r="H43" s="8">
        <v>47000</v>
      </c>
      <c r="I43" s="8">
        <v>4500</v>
      </c>
      <c r="J43" s="8">
        <v>33000</v>
      </c>
      <c r="K43" s="8">
        <v>12900</v>
      </c>
      <c r="L43" s="8">
        <v>4500</v>
      </c>
      <c r="M43" s="10">
        <f t="shared" si="1"/>
        <v>555100</v>
      </c>
      <c r="N43" s="11">
        <f t="shared" si="2"/>
        <v>944900</v>
      </c>
      <c r="O43" s="12">
        <f t="shared" si="3"/>
        <v>0.62993333333333335</v>
      </c>
      <c r="P43" s="9">
        <f t="shared" si="4"/>
        <v>30000</v>
      </c>
      <c r="Q43" s="8">
        <v>2500</v>
      </c>
      <c r="R43" s="8">
        <v>0</v>
      </c>
      <c r="S43" s="8">
        <v>3500</v>
      </c>
      <c r="T43" s="10">
        <f t="shared" si="5"/>
        <v>36000</v>
      </c>
      <c r="U43" s="13">
        <f t="shared" si="6"/>
        <v>908900</v>
      </c>
      <c r="V43" s="12">
        <f t="shared" si="7"/>
        <v>0.60593333333333332</v>
      </c>
    </row>
    <row r="44" spans="1:22" x14ac:dyDescent="0.3">
      <c r="A44" s="6" t="s">
        <v>27</v>
      </c>
      <c r="B44" s="7">
        <v>2026</v>
      </c>
      <c r="C44" s="8">
        <v>4910000</v>
      </c>
      <c r="D44" s="8">
        <v>32000</v>
      </c>
      <c r="E44" s="9">
        <f t="shared" si="0"/>
        <v>4942000</v>
      </c>
      <c r="F44" s="8">
        <v>218400</v>
      </c>
      <c r="G44" s="8">
        <v>79800</v>
      </c>
      <c r="H44" s="8">
        <v>29000</v>
      </c>
      <c r="I44" s="8">
        <v>4500</v>
      </c>
      <c r="J44" s="8">
        <v>20000</v>
      </c>
      <c r="K44" s="8">
        <v>8400</v>
      </c>
      <c r="L44" s="8">
        <v>2700</v>
      </c>
      <c r="M44" s="10">
        <f t="shared" si="1"/>
        <v>362800</v>
      </c>
      <c r="N44" s="11">
        <f t="shared" si="2"/>
        <v>4579200</v>
      </c>
      <c r="O44" s="12">
        <f t="shared" si="3"/>
        <v>0.92658842573856737</v>
      </c>
      <c r="P44" s="9">
        <f t="shared" si="4"/>
        <v>98840</v>
      </c>
      <c r="Q44" s="8">
        <v>5000</v>
      </c>
      <c r="R44" s="8">
        <v>4500</v>
      </c>
      <c r="S44" s="8">
        <v>3500</v>
      </c>
      <c r="T44" s="10">
        <f t="shared" si="5"/>
        <v>111840</v>
      </c>
      <c r="U44" s="13">
        <f t="shared" si="6"/>
        <v>4467360</v>
      </c>
      <c r="V44" s="12">
        <f t="shared" si="7"/>
        <v>0.90395791177660867</v>
      </c>
    </row>
    <row r="45" spans="1:22" x14ac:dyDescent="0.3">
      <c r="A45" s="16" t="s">
        <v>37</v>
      </c>
      <c r="C45" s="17">
        <f t="shared" ref="C45:N45" si="8">SUM(C6:C44)</f>
        <v>31250000</v>
      </c>
      <c r="D45" s="17">
        <f t="shared" si="8"/>
        <v>340500</v>
      </c>
      <c r="E45" s="17">
        <f t="shared" si="8"/>
        <v>31590500</v>
      </c>
      <c r="F45" s="17">
        <f t="shared" si="8"/>
        <v>4524000</v>
      </c>
      <c r="G45" s="17">
        <f t="shared" si="8"/>
        <v>1683400</v>
      </c>
      <c r="H45" s="17">
        <f t="shared" si="8"/>
        <v>617000</v>
      </c>
      <c r="I45" s="17">
        <f t="shared" si="8"/>
        <v>175500</v>
      </c>
      <c r="J45" s="17">
        <f t="shared" si="8"/>
        <v>433500</v>
      </c>
      <c r="K45" s="17">
        <f t="shared" si="8"/>
        <v>174000</v>
      </c>
      <c r="L45" s="17">
        <f t="shared" si="8"/>
        <v>59000</v>
      </c>
      <c r="M45" s="17">
        <f t="shared" si="8"/>
        <v>7666400</v>
      </c>
      <c r="N45" s="17">
        <f t="shared" si="8"/>
        <v>23924100</v>
      </c>
      <c r="O45" s="18">
        <f t="shared" si="3"/>
        <v>0.75731944730219525</v>
      </c>
      <c r="P45" s="17">
        <f t="shared" ref="P45:U45" si="9">SUM(P6:P44)</f>
        <v>631810</v>
      </c>
      <c r="Q45" s="17">
        <f t="shared" si="9"/>
        <v>115000</v>
      </c>
      <c r="R45" s="17">
        <f t="shared" si="9"/>
        <v>67500</v>
      </c>
      <c r="S45" s="17">
        <f t="shared" si="9"/>
        <v>136500</v>
      </c>
      <c r="T45" s="17">
        <f t="shared" si="9"/>
        <v>950810</v>
      </c>
      <c r="U45" s="17">
        <f t="shared" si="9"/>
        <v>22973290</v>
      </c>
      <c r="V45" s="18">
        <f t="shared" si="7"/>
        <v>0.72722147481046517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L17"/>
  <sheetViews>
    <sheetView zoomScaleNormal="100" workbookViewId="0"/>
  </sheetViews>
  <sheetFormatPr defaultColWidth="8.6640625" defaultRowHeight="14.4" x14ac:dyDescent="0.3"/>
  <cols>
    <col min="1" max="1" width="5" customWidth="1"/>
    <col min="2" max="2" width="20" customWidth="1"/>
    <col min="3" max="3" width="42" customWidth="1"/>
    <col min="4" max="4" width="20" customWidth="1"/>
    <col min="5" max="5" width="18" customWidth="1"/>
    <col min="6" max="6" width="16" customWidth="1"/>
    <col min="7" max="7" width="15" customWidth="1"/>
    <col min="8" max="8" width="13" customWidth="1"/>
    <col min="9" max="9" width="18" customWidth="1"/>
    <col min="10" max="11" width="20" customWidth="1"/>
    <col min="12" max="12" width="14" customWidth="1"/>
  </cols>
  <sheetData>
    <row r="1" spans="1:12" ht="17.399999999999999" x14ac:dyDescent="0.3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2" ht="28.2" x14ac:dyDescent="0.3">
      <c r="A3" s="5" t="s">
        <v>39</v>
      </c>
      <c r="B3" s="5" t="s">
        <v>40</v>
      </c>
      <c r="C3" s="5" t="s">
        <v>41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9</v>
      </c>
      <c r="I3" s="5" t="s">
        <v>46</v>
      </c>
      <c r="J3" s="5" t="s">
        <v>47</v>
      </c>
      <c r="K3" s="5" t="s">
        <v>48</v>
      </c>
      <c r="L3" s="5" t="s">
        <v>17</v>
      </c>
    </row>
    <row r="4" spans="1:12" x14ac:dyDescent="0.3">
      <c r="A4" s="14">
        <v>1</v>
      </c>
      <c r="B4" s="14" t="s">
        <v>49</v>
      </c>
      <c r="C4" s="14" t="s">
        <v>50</v>
      </c>
      <c r="D4" s="8">
        <v>2450000</v>
      </c>
      <c r="E4" s="14" t="s">
        <v>51</v>
      </c>
      <c r="F4" s="19">
        <v>6</v>
      </c>
      <c r="G4" s="19">
        <v>24</v>
      </c>
      <c r="H4" s="19">
        <v>6</v>
      </c>
      <c r="I4" s="9">
        <v>511200</v>
      </c>
      <c r="J4" s="9">
        <v>610100</v>
      </c>
      <c r="K4" s="11">
        <f t="shared" ref="K4:K16" si="0">D4-J4</f>
        <v>1839900</v>
      </c>
      <c r="L4" s="12">
        <f t="shared" ref="L4:L17" si="1">IF(D4=0,0,K4/D4)</f>
        <v>0.75097959183673468</v>
      </c>
    </row>
    <row r="5" spans="1:12" x14ac:dyDescent="0.3">
      <c r="A5" s="14">
        <v>2</v>
      </c>
      <c r="B5" s="14" t="s">
        <v>52</v>
      </c>
      <c r="C5" s="14" t="s">
        <v>53</v>
      </c>
      <c r="D5" s="8">
        <v>1850000</v>
      </c>
      <c r="E5" s="14" t="s">
        <v>54</v>
      </c>
      <c r="F5" s="19">
        <v>5</v>
      </c>
      <c r="G5" s="19">
        <v>18</v>
      </c>
      <c r="H5" s="19">
        <v>5</v>
      </c>
      <c r="I5" s="9">
        <v>329000</v>
      </c>
      <c r="J5" s="9">
        <v>404800</v>
      </c>
      <c r="K5" s="11">
        <f t="shared" si="0"/>
        <v>1445200</v>
      </c>
      <c r="L5" s="12">
        <f t="shared" si="1"/>
        <v>0.78118918918918923</v>
      </c>
    </row>
    <row r="6" spans="1:12" x14ac:dyDescent="0.3">
      <c r="A6" s="14">
        <v>3</v>
      </c>
      <c r="B6" s="14" t="s">
        <v>55</v>
      </c>
      <c r="C6" s="14" t="s">
        <v>56</v>
      </c>
      <c r="D6" s="8">
        <v>2100000</v>
      </c>
      <c r="E6" s="14" t="s">
        <v>57</v>
      </c>
      <c r="F6" s="19">
        <v>6</v>
      </c>
      <c r="G6" s="19">
        <v>22</v>
      </c>
      <c r="H6" s="19">
        <v>5</v>
      </c>
      <c r="I6" s="9">
        <v>457200</v>
      </c>
      <c r="J6" s="9">
        <v>546600</v>
      </c>
      <c r="K6" s="11">
        <f t="shared" si="0"/>
        <v>1553400</v>
      </c>
      <c r="L6" s="12">
        <f t="shared" si="1"/>
        <v>0.73971428571428577</v>
      </c>
    </row>
    <row r="7" spans="1:12" x14ac:dyDescent="0.3">
      <c r="A7" s="14">
        <v>4</v>
      </c>
      <c r="B7" s="14" t="s">
        <v>49</v>
      </c>
      <c r="C7" s="14" t="s">
        <v>58</v>
      </c>
      <c r="D7" s="8">
        <v>2800000</v>
      </c>
      <c r="E7" s="14" t="s">
        <v>59</v>
      </c>
      <c r="F7" s="19">
        <v>6</v>
      </c>
      <c r="G7" s="19">
        <v>28</v>
      </c>
      <c r="H7" s="19">
        <v>7</v>
      </c>
      <c r="I7" s="9">
        <v>596400</v>
      </c>
      <c r="J7" s="9">
        <v>712400</v>
      </c>
      <c r="K7" s="11">
        <f t="shared" si="0"/>
        <v>2087600</v>
      </c>
      <c r="L7" s="12">
        <f t="shared" si="1"/>
        <v>0.74557142857142855</v>
      </c>
    </row>
    <row r="8" spans="1:12" x14ac:dyDescent="0.3">
      <c r="A8" s="14">
        <v>5</v>
      </c>
      <c r="B8" s="14" t="s">
        <v>52</v>
      </c>
      <c r="C8" s="14" t="s">
        <v>60</v>
      </c>
      <c r="D8" s="8">
        <v>3100000</v>
      </c>
      <c r="E8" s="14" t="s">
        <v>61</v>
      </c>
      <c r="F8" s="19">
        <v>6</v>
      </c>
      <c r="G8" s="19">
        <v>30</v>
      </c>
      <c r="H8" s="19">
        <v>8</v>
      </c>
      <c r="I8" s="9">
        <v>650400</v>
      </c>
      <c r="J8" s="9">
        <v>777900</v>
      </c>
      <c r="K8" s="11">
        <f t="shared" si="0"/>
        <v>2322100</v>
      </c>
      <c r="L8" s="12">
        <f t="shared" si="1"/>
        <v>0.74906451612903224</v>
      </c>
    </row>
    <row r="9" spans="1:12" x14ac:dyDescent="0.3">
      <c r="A9" s="14">
        <v>6</v>
      </c>
      <c r="B9" s="14" t="s">
        <v>55</v>
      </c>
      <c r="C9" s="14" t="s">
        <v>62</v>
      </c>
      <c r="D9" s="8">
        <v>1650000</v>
      </c>
      <c r="E9" s="14" t="s">
        <v>63</v>
      </c>
      <c r="F9" s="19">
        <v>5</v>
      </c>
      <c r="G9" s="19">
        <v>16</v>
      </c>
      <c r="H9" s="19">
        <v>4</v>
      </c>
      <c r="I9" s="9">
        <v>284000</v>
      </c>
      <c r="J9" s="9">
        <v>351500</v>
      </c>
      <c r="K9" s="11">
        <f t="shared" si="0"/>
        <v>1298500</v>
      </c>
      <c r="L9" s="12">
        <f t="shared" si="1"/>
        <v>0.78696969696969699</v>
      </c>
    </row>
    <row r="10" spans="1:12" x14ac:dyDescent="0.3">
      <c r="A10" s="14">
        <v>7</v>
      </c>
      <c r="B10" s="14" t="s">
        <v>49</v>
      </c>
      <c r="C10" s="14" t="s">
        <v>64</v>
      </c>
      <c r="D10" s="8">
        <v>2250000</v>
      </c>
      <c r="E10" s="14" t="s">
        <v>65</v>
      </c>
      <c r="F10" s="19">
        <v>5</v>
      </c>
      <c r="G10" s="19">
        <v>20</v>
      </c>
      <c r="H10" s="19">
        <v>6</v>
      </c>
      <c r="I10" s="9">
        <v>374000</v>
      </c>
      <c r="J10" s="9">
        <v>463000</v>
      </c>
      <c r="K10" s="11">
        <f t="shared" si="0"/>
        <v>1787000</v>
      </c>
      <c r="L10" s="12">
        <f t="shared" si="1"/>
        <v>0.79422222222222227</v>
      </c>
    </row>
    <row r="11" spans="1:12" x14ac:dyDescent="0.3">
      <c r="A11" s="14">
        <v>8</v>
      </c>
      <c r="B11" s="14" t="s">
        <v>52</v>
      </c>
      <c r="C11" s="14" t="s">
        <v>66</v>
      </c>
      <c r="D11" s="8">
        <v>1950000</v>
      </c>
      <c r="E11" s="14" t="s">
        <v>67</v>
      </c>
      <c r="F11" s="19">
        <v>6</v>
      </c>
      <c r="G11" s="19">
        <v>20</v>
      </c>
      <c r="H11" s="19">
        <v>5</v>
      </c>
      <c r="I11" s="9">
        <v>426000</v>
      </c>
      <c r="J11" s="9">
        <v>508400</v>
      </c>
      <c r="K11" s="11">
        <f t="shared" si="0"/>
        <v>1441600</v>
      </c>
      <c r="L11" s="12">
        <f t="shared" si="1"/>
        <v>0.73928205128205127</v>
      </c>
    </row>
    <row r="12" spans="1:12" x14ac:dyDescent="0.3">
      <c r="A12" s="14">
        <v>9</v>
      </c>
      <c r="B12" s="14" t="s">
        <v>55</v>
      </c>
      <c r="C12" s="14" t="s">
        <v>68</v>
      </c>
      <c r="D12" s="8">
        <v>2700000</v>
      </c>
      <c r="E12" s="14" t="s">
        <v>69</v>
      </c>
      <c r="F12" s="19">
        <v>6</v>
      </c>
      <c r="G12" s="19">
        <v>26</v>
      </c>
      <c r="H12" s="19">
        <v>7</v>
      </c>
      <c r="I12" s="9">
        <v>565200</v>
      </c>
      <c r="J12" s="9">
        <v>675800</v>
      </c>
      <c r="K12" s="11">
        <f t="shared" si="0"/>
        <v>2024200</v>
      </c>
      <c r="L12" s="12">
        <f t="shared" si="1"/>
        <v>0.74970370370370365</v>
      </c>
    </row>
    <row r="13" spans="1:12" x14ac:dyDescent="0.3">
      <c r="A13" s="14">
        <v>10</v>
      </c>
      <c r="B13" s="14" t="s">
        <v>49</v>
      </c>
      <c r="C13" s="14" t="s">
        <v>70</v>
      </c>
      <c r="D13" s="8">
        <v>3200000</v>
      </c>
      <c r="E13" s="14" t="s">
        <v>71</v>
      </c>
      <c r="F13" s="19">
        <v>6</v>
      </c>
      <c r="G13" s="19">
        <v>32</v>
      </c>
      <c r="H13" s="19">
        <v>8</v>
      </c>
      <c r="I13" s="9">
        <v>681600</v>
      </c>
      <c r="J13" s="9">
        <v>814600</v>
      </c>
      <c r="K13" s="11">
        <f t="shared" si="0"/>
        <v>2385400</v>
      </c>
      <c r="L13" s="12">
        <f t="shared" si="1"/>
        <v>0.74543749999999998</v>
      </c>
    </row>
    <row r="14" spans="1:12" x14ac:dyDescent="0.3">
      <c r="A14" s="14">
        <v>11</v>
      </c>
      <c r="B14" s="14" t="s">
        <v>52</v>
      </c>
      <c r="C14" s="14" t="s">
        <v>72</v>
      </c>
      <c r="D14" s="8">
        <v>2500000</v>
      </c>
      <c r="E14" s="14" t="s">
        <v>73</v>
      </c>
      <c r="F14" s="19">
        <v>5</v>
      </c>
      <c r="G14" s="19">
        <v>24</v>
      </c>
      <c r="H14" s="19">
        <v>6</v>
      </c>
      <c r="I14" s="9">
        <v>426000</v>
      </c>
      <c r="J14" s="9">
        <v>524600</v>
      </c>
      <c r="K14" s="11">
        <f t="shared" si="0"/>
        <v>1975400</v>
      </c>
      <c r="L14" s="12">
        <f t="shared" si="1"/>
        <v>0.79015999999999997</v>
      </c>
    </row>
    <row r="15" spans="1:12" x14ac:dyDescent="0.3">
      <c r="A15" s="14">
        <v>12</v>
      </c>
      <c r="B15" s="14" t="s">
        <v>55</v>
      </c>
      <c r="C15" s="14" t="s">
        <v>74</v>
      </c>
      <c r="D15" s="8">
        <v>1800000</v>
      </c>
      <c r="E15" s="14" t="s">
        <v>75</v>
      </c>
      <c r="F15" s="19">
        <v>5</v>
      </c>
      <c r="G15" s="19">
        <v>18</v>
      </c>
      <c r="H15" s="19">
        <v>4</v>
      </c>
      <c r="I15" s="9">
        <v>310000</v>
      </c>
      <c r="J15" s="9">
        <v>384600</v>
      </c>
      <c r="K15" s="11">
        <f t="shared" si="0"/>
        <v>1415400</v>
      </c>
      <c r="L15" s="12">
        <f t="shared" si="1"/>
        <v>0.78633333333333333</v>
      </c>
    </row>
    <row r="16" spans="1:12" x14ac:dyDescent="0.3">
      <c r="A16" s="14">
        <v>13</v>
      </c>
      <c r="B16" s="14" t="s">
        <v>49</v>
      </c>
      <c r="C16" s="14" t="s">
        <v>76</v>
      </c>
      <c r="D16" s="8">
        <v>2900000</v>
      </c>
      <c r="E16" s="14" t="s">
        <v>77</v>
      </c>
      <c r="F16" s="19">
        <v>6</v>
      </c>
      <c r="G16" s="19">
        <v>28</v>
      </c>
      <c r="H16" s="19">
        <v>7</v>
      </c>
      <c r="I16" s="9">
        <v>596400</v>
      </c>
      <c r="J16" s="9">
        <v>716600</v>
      </c>
      <c r="K16" s="11">
        <f t="shared" si="0"/>
        <v>2183400</v>
      </c>
      <c r="L16" s="12">
        <f t="shared" si="1"/>
        <v>0.75289655172413794</v>
      </c>
    </row>
    <row r="17" spans="1:12" x14ac:dyDescent="0.3">
      <c r="A17" s="16" t="s">
        <v>78</v>
      </c>
      <c r="D17" s="17">
        <f>SUM(D4:D16)</f>
        <v>31250000</v>
      </c>
      <c r="I17" s="17">
        <f>SUM(I4:I16)</f>
        <v>6207400</v>
      </c>
      <c r="J17" s="17">
        <f>SUM(J4:J16)</f>
        <v>7490900</v>
      </c>
      <c r="K17" s="17">
        <f>SUM(K4:K16)</f>
        <v>23759100</v>
      </c>
      <c r="L17" s="18">
        <f t="shared" si="1"/>
        <v>0.76029119999999994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F40"/>
  <sheetViews>
    <sheetView zoomScaleNormal="100" workbookViewId="0"/>
  </sheetViews>
  <sheetFormatPr defaultColWidth="8.6640625" defaultRowHeight="14.4" x14ac:dyDescent="0.3"/>
  <cols>
    <col min="1" max="1" width="32" customWidth="1"/>
    <col min="2" max="6" width="18" customWidth="1"/>
  </cols>
  <sheetData>
    <row r="1" spans="1:6" ht="17.399999999999999" x14ac:dyDescent="0.3">
      <c r="A1" s="2" t="s">
        <v>79</v>
      </c>
      <c r="B1" s="2"/>
      <c r="C1" s="2"/>
      <c r="D1" s="2"/>
      <c r="E1" s="2"/>
      <c r="F1" s="2"/>
    </row>
    <row r="3" spans="1:6" x14ac:dyDescent="0.3">
      <c r="A3" s="5"/>
      <c r="B3" s="5" t="s">
        <v>80</v>
      </c>
      <c r="C3" s="5" t="s">
        <v>81</v>
      </c>
      <c r="D3" s="5" t="s">
        <v>82</v>
      </c>
      <c r="E3" s="5" t="s">
        <v>83</v>
      </c>
      <c r="F3" s="5" t="s">
        <v>84</v>
      </c>
    </row>
    <row r="4" spans="1:6" x14ac:dyDescent="0.3">
      <c r="A4" s="20" t="s">
        <v>85</v>
      </c>
      <c r="B4" s="21"/>
      <c r="C4" s="21"/>
      <c r="D4" s="21"/>
      <c r="E4" s="21"/>
      <c r="F4" s="21"/>
    </row>
    <row r="5" spans="1:6" x14ac:dyDescent="0.3">
      <c r="A5" s="14" t="s">
        <v>86</v>
      </c>
      <c r="B5" s="8">
        <v>6610000</v>
      </c>
      <c r="C5" s="8">
        <v>8915000</v>
      </c>
      <c r="D5" s="8">
        <v>8315000</v>
      </c>
      <c r="E5" s="8">
        <v>7410000</v>
      </c>
      <c r="F5" s="9">
        <f>SUM(B5:E5)</f>
        <v>31250000</v>
      </c>
    </row>
    <row r="6" spans="1:6" x14ac:dyDescent="0.3">
      <c r="A6" s="14" t="s">
        <v>87</v>
      </c>
      <c r="B6" s="8">
        <v>80500</v>
      </c>
      <c r="C6" s="8">
        <v>100000</v>
      </c>
      <c r="D6" s="8">
        <v>128000</v>
      </c>
      <c r="E6" s="8">
        <v>32000</v>
      </c>
      <c r="F6" s="9">
        <f>SUM(B6:E6)</f>
        <v>340500</v>
      </c>
    </row>
    <row r="7" spans="1:6" x14ac:dyDescent="0.3">
      <c r="A7" s="14" t="s">
        <v>88</v>
      </c>
      <c r="B7" s="9">
        <v>6690500</v>
      </c>
      <c r="C7" s="9">
        <v>9015000</v>
      </c>
      <c r="D7" s="9">
        <v>8443000</v>
      </c>
      <c r="E7" s="9">
        <v>7442000</v>
      </c>
      <c r="F7" s="9">
        <f>SUM(B7:E7)</f>
        <v>31590500</v>
      </c>
    </row>
    <row r="8" spans="1:6" x14ac:dyDescent="0.3">
      <c r="A8" s="14"/>
      <c r="B8" s="21"/>
      <c r="C8" s="21"/>
      <c r="D8" s="21"/>
      <c r="E8" s="21"/>
      <c r="F8" s="21"/>
    </row>
    <row r="9" spans="1:6" x14ac:dyDescent="0.3">
      <c r="A9" s="20" t="s">
        <v>89</v>
      </c>
      <c r="B9" s="21"/>
      <c r="C9" s="21"/>
      <c r="D9" s="21"/>
      <c r="E9" s="21"/>
      <c r="F9" s="21"/>
    </row>
    <row r="10" spans="1:6" x14ac:dyDescent="0.3">
      <c r="A10" s="14" t="s">
        <v>90</v>
      </c>
      <c r="B10" s="8">
        <v>1388400</v>
      </c>
      <c r="C10" s="8">
        <v>936000</v>
      </c>
      <c r="D10" s="8">
        <v>1528800</v>
      </c>
      <c r="E10" s="8">
        <v>670800</v>
      </c>
      <c r="F10" s="9">
        <f t="shared" ref="F10:F17" si="0">SUM(B10:E10)</f>
        <v>4524000</v>
      </c>
    </row>
    <row r="11" spans="1:6" x14ac:dyDescent="0.3">
      <c r="A11" s="14" t="s">
        <v>91</v>
      </c>
      <c r="B11" s="8">
        <v>505400</v>
      </c>
      <c r="C11" s="8">
        <v>372400</v>
      </c>
      <c r="D11" s="8">
        <v>570000</v>
      </c>
      <c r="E11" s="8">
        <v>235600</v>
      </c>
      <c r="F11" s="9">
        <f t="shared" si="0"/>
        <v>1683400</v>
      </c>
    </row>
    <row r="12" spans="1:6" x14ac:dyDescent="0.3">
      <c r="A12" s="14" t="s">
        <v>92</v>
      </c>
      <c r="B12" s="8">
        <v>181000</v>
      </c>
      <c r="C12" s="8">
        <v>138000</v>
      </c>
      <c r="D12" s="8">
        <v>204000</v>
      </c>
      <c r="E12" s="8">
        <v>94000</v>
      </c>
      <c r="F12" s="9">
        <f t="shared" si="0"/>
        <v>617000</v>
      </c>
    </row>
    <row r="13" spans="1:6" x14ac:dyDescent="0.3">
      <c r="A13" s="14" t="s">
        <v>93</v>
      </c>
      <c r="B13" s="8">
        <v>54000</v>
      </c>
      <c r="C13" s="8">
        <v>54000</v>
      </c>
      <c r="D13" s="8">
        <v>54000</v>
      </c>
      <c r="E13" s="8">
        <v>13500</v>
      </c>
      <c r="F13" s="9">
        <f t="shared" si="0"/>
        <v>175500</v>
      </c>
    </row>
    <row r="14" spans="1:6" x14ac:dyDescent="0.3">
      <c r="A14" s="14" t="s">
        <v>94</v>
      </c>
      <c r="B14" s="8">
        <v>128000</v>
      </c>
      <c r="C14" s="8">
        <v>97000</v>
      </c>
      <c r="D14" s="8">
        <v>142500</v>
      </c>
      <c r="E14" s="8">
        <v>66000</v>
      </c>
      <c r="F14" s="9">
        <f t="shared" si="0"/>
        <v>433500</v>
      </c>
    </row>
    <row r="15" spans="1:6" x14ac:dyDescent="0.3">
      <c r="A15" s="14" t="s">
        <v>95</v>
      </c>
      <c r="B15" s="8">
        <v>53400</v>
      </c>
      <c r="C15" s="8">
        <v>36000</v>
      </c>
      <c r="D15" s="8">
        <v>58800</v>
      </c>
      <c r="E15" s="8">
        <v>25800</v>
      </c>
      <c r="F15" s="9">
        <f t="shared" si="0"/>
        <v>174000</v>
      </c>
    </row>
    <row r="16" spans="1:6" x14ac:dyDescent="0.3">
      <c r="A16" s="14" t="s">
        <v>96</v>
      </c>
      <c r="B16" s="8">
        <v>17700</v>
      </c>
      <c r="C16" s="8">
        <v>13000</v>
      </c>
      <c r="D16" s="8">
        <v>19300</v>
      </c>
      <c r="E16" s="8">
        <v>9000</v>
      </c>
      <c r="F16" s="9">
        <f t="shared" si="0"/>
        <v>59000</v>
      </c>
    </row>
    <row r="17" spans="1:6" x14ac:dyDescent="0.3">
      <c r="A17" s="14" t="s">
        <v>97</v>
      </c>
      <c r="B17" s="9">
        <v>2327900</v>
      </c>
      <c r="C17" s="9">
        <v>1646400</v>
      </c>
      <c r="D17" s="9">
        <v>2577400</v>
      </c>
      <c r="E17" s="9">
        <v>1114700</v>
      </c>
      <c r="F17" s="9">
        <f t="shared" si="0"/>
        <v>7666400</v>
      </c>
    </row>
    <row r="18" spans="1:6" x14ac:dyDescent="0.3">
      <c r="A18" s="14"/>
      <c r="B18" s="21"/>
      <c r="C18" s="21"/>
      <c r="D18" s="21"/>
      <c r="E18" s="21"/>
      <c r="F18" s="21"/>
    </row>
    <row r="19" spans="1:6" x14ac:dyDescent="0.3">
      <c r="A19" s="20" t="s">
        <v>98</v>
      </c>
      <c r="B19" s="22">
        <v>4362600</v>
      </c>
      <c r="C19" s="22">
        <v>7368600</v>
      </c>
      <c r="D19" s="22">
        <v>5865600</v>
      </c>
      <c r="E19" s="22">
        <v>6327300</v>
      </c>
      <c r="F19" s="22">
        <f>SUM(B19:E19)</f>
        <v>23924100</v>
      </c>
    </row>
    <row r="20" spans="1:6" x14ac:dyDescent="0.3">
      <c r="A20" s="14" t="s">
        <v>17</v>
      </c>
      <c r="B20" s="12">
        <v>0.65205888947014401</v>
      </c>
      <c r="C20" s="12">
        <v>0.81737104825291196</v>
      </c>
      <c r="D20" s="12">
        <v>0.69472936160132703</v>
      </c>
      <c r="E20" s="12">
        <v>0.85021499596882599</v>
      </c>
      <c r="F20" s="23">
        <v>0.75731944730219503</v>
      </c>
    </row>
    <row r="21" spans="1:6" x14ac:dyDescent="0.3">
      <c r="A21" s="14"/>
      <c r="B21" s="21"/>
      <c r="C21" s="21"/>
      <c r="D21" s="21"/>
      <c r="E21" s="21"/>
      <c r="F21" s="21"/>
    </row>
    <row r="22" spans="1:6" x14ac:dyDescent="0.3">
      <c r="A22" s="20" t="s">
        <v>99</v>
      </c>
      <c r="B22" s="21"/>
      <c r="C22" s="21"/>
      <c r="D22" s="21"/>
      <c r="E22" s="21"/>
      <c r="F22" s="21"/>
    </row>
    <row r="23" spans="1:6" x14ac:dyDescent="0.3">
      <c r="A23" s="14" t="s">
        <v>100</v>
      </c>
      <c r="B23" s="9">
        <v>133810</v>
      </c>
      <c r="C23" s="9">
        <v>180300</v>
      </c>
      <c r="D23" s="9">
        <v>168860</v>
      </c>
      <c r="E23" s="9">
        <v>148840</v>
      </c>
      <c r="F23" s="9">
        <f>SUM(B23:E23)</f>
        <v>631810</v>
      </c>
    </row>
    <row r="24" spans="1:6" x14ac:dyDescent="0.3">
      <c r="A24" s="14" t="s">
        <v>101</v>
      </c>
      <c r="B24" s="8">
        <v>35000</v>
      </c>
      <c r="C24" s="8">
        <v>35000</v>
      </c>
      <c r="D24" s="8">
        <v>35000</v>
      </c>
      <c r="E24" s="8">
        <v>10000</v>
      </c>
      <c r="F24" s="9">
        <f>SUM(B24:E24)</f>
        <v>115000</v>
      </c>
    </row>
    <row r="25" spans="1:6" x14ac:dyDescent="0.3">
      <c r="A25" s="14" t="s">
        <v>102</v>
      </c>
      <c r="B25" s="8">
        <v>21000</v>
      </c>
      <c r="C25" s="8">
        <v>21000</v>
      </c>
      <c r="D25" s="8">
        <v>21000</v>
      </c>
      <c r="E25" s="8">
        <v>4500</v>
      </c>
      <c r="F25" s="9">
        <f>SUM(B25:E25)</f>
        <v>67500</v>
      </c>
    </row>
    <row r="26" spans="1:6" x14ac:dyDescent="0.3">
      <c r="A26" s="14" t="s">
        <v>103</v>
      </c>
      <c r="B26" s="8">
        <v>42000</v>
      </c>
      <c r="C26" s="8">
        <v>42000</v>
      </c>
      <c r="D26" s="8">
        <v>42000</v>
      </c>
      <c r="E26" s="8">
        <v>10500</v>
      </c>
      <c r="F26" s="9">
        <f>SUM(B26:E26)</f>
        <v>136500</v>
      </c>
    </row>
    <row r="27" spans="1:6" x14ac:dyDescent="0.3">
      <c r="A27" s="14" t="s">
        <v>104</v>
      </c>
      <c r="B27" s="9">
        <v>231810</v>
      </c>
      <c r="C27" s="9">
        <v>278300</v>
      </c>
      <c r="D27" s="9">
        <v>266860</v>
      </c>
      <c r="E27" s="9">
        <v>173840</v>
      </c>
      <c r="F27" s="9">
        <f>SUM(B27:E27)</f>
        <v>950810</v>
      </c>
    </row>
    <row r="28" spans="1:6" x14ac:dyDescent="0.3">
      <c r="A28" s="14"/>
      <c r="B28" s="21"/>
      <c r="C28" s="21"/>
      <c r="D28" s="21"/>
      <c r="E28" s="21"/>
      <c r="F28" s="21"/>
    </row>
    <row r="29" spans="1:6" x14ac:dyDescent="0.3">
      <c r="A29" s="20" t="s">
        <v>23</v>
      </c>
      <c r="B29" s="13">
        <v>4130790</v>
      </c>
      <c r="C29" s="13">
        <v>7090300</v>
      </c>
      <c r="D29" s="13">
        <v>5598740</v>
      </c>
      <c r="E29" s="13">
        <v>6153460</v>
      </c>
      <c r="F29" s="22">
        <f>SUM(B29:E29)</f>
        <v>22973290</v>
      </c>
    </row>
    <row r="30" spans="1:6" x14ac:dyDescent="0.3">
      <c r="A30" s="14" t="s">
        <v>24</v>
      </c>
      <c r="B30" s="12">
        <v>0.61741125476421799</v>
      </c>
      <c r="C30" s="12">
        <v>0.78650027731558503</v>
      </c>
      <c r="D30" s="12">
        <v>0.66312211299301205</v>
      </c>
      <c r="E30" s="12">
        <v>0.82685568395592601</v>
      </c>
      <c r="F30" s="23">
        <v>0.72722147481046495</v>
      </c>
    </row>
    <row r="31" spans="1:6" x14ac:dyDescent="0.3">
      <c r="A31" s="14"/>
      <c r="B31" s="21"/>
      <c r="C31" s="21"/>
      <c r="D31" s="21"/>
      <c r="E31" s="21"/>
      <c r="F31" s="21"/>
    </row>
    <row r="32" spans="1:6" x14ac:dyDescent="0.3">
      <c r="A32" s="20" t="s">
        <v>105</v>
      </c>
      <c r="B32" s="21"/>
      <c r="C32" s="21"/>
      <c r="D32" s="21"/>
      <c r="E32" s="21"/>
      <c r="F32" s="21"/>
    </row>
    <row r="33" spans="1:6" x14ac:dyDescent="0.3">
      <c r="A33" s="14" t="s">
        <v>106</v>
      </c>
      <c r="B33" s="12">
        <v>0.36349999999999999</v>
      </c>
      <c r="C33" s="12">
        <v>0.36349999999999999</v>
      </c>
      <c r="D33" s="12">
        <v>0.36349999999999999</v>
      </c>
      <c r="E33" s="12">
        <v>0.36349999999999999</v>
      </c>
      <c r="F33" s="23">
        <v>0.36349999999999999</v>
      </c>
    </row>
    <row r="34" spans="1:6" x14ac:dyDescent="0.3">
      <c r="A34" s="14" t="s">
        <v>107</v>
      </c>
      <c r="B34" s="9">
        <v>867466</v>
      </c>
      <c r="C34" s="9">
        <v>1488963</v>
      </c>
      <c r="D34" s="9">
        <v>1175735</v>
      </c>
      <c r="E34" s="9">
        <v>1292227</v>
      </c>
      <c r="F34" s="9">
        <f>SUM(B34:E34)</f>
        <v>4824391</v>
      </c>
    </row>
    <row r="35" spans="1:6" x14ac:dyDescent="0.3">
      <c r="A35" s="14" t="s">
        <v>108</v>
      </c>
      <c r="B35" s="9">
        <v>268501</v>
      </c>
      <c r="C35" s="9">
        <v>460870</v>
      </c>
      <c r="D35" s="9">
        <v>363918</v>
      </c>
      <c r="E35" s="9">
        <v>399975</v>
      </c>
      <c r="F35" s="9">
        <f>SUM(B35:E35)</f>
        <v>1493264</v>
      </c>
    </row>
    <row r="36" spans="1:6" x14ac:dyDescent="0.3">
      <c r="A36" s="14" t="s">
        <v>109</v>
      </c>
      <c r="B36" s="9">
        <v>365575</v>
      </c>
      <c r="C36" s="9">
        <v>627492</v>
      </c>
      <c r="D36" s="9">
        <v>495488</v>
      </c>
      <c r="E36" s="9">
        <v>544581</v>
      </c>
      <c r="F36" s="9">
        <f>SUM(B36:E36)</f>
        <v>2033136</v>
      </c>
    </row>
    <row r="37" spans="1:6" x14ac:dyDescent="0.3">
      <c r="A37" s="14" t="s">
        <v>110</v>
      </c>
      <c r="B37" s="9">
        <v>1501542</v>
      </c>
      <c r="C37" s="9">
        <v>2577324</v>
      </c>
      <c r="D37" s="9">
        <v>2035142</v>
      </c>
      <c r="E37" s="9">
        <v>2236783</v>
      </c>
      <c r="F37" s="9">
        <f>SUM(B37:E37)</f>
        <v>8350791</v>
      </c>
    </row>
    <row r="38" spans="1:6" x14ac:dyDescent="0.3">
      <c r="A38" s="14"/>
      <c r="B38" s="21"/>
      <c r="C38" s="21"/>
      <c r="D38" s="21"/>
      <c r="E38" s="21"/>
      <c r="F38" s="21"/>
    </row>
    <row r="39" spans="1:6" x14ac:dyDescent="0.3">
      <c r="A39" s="20" t="s">
        <v>111</v>
      </c>
      <c r="B39" s="24">
        <v>2629248</v>
      </c>
      <c r="C39" s="24">
        <v>4512976</v>
      </c>
      <c r="D39" s="24">
        <v>3563598</v>
      </c>
      <c r="E39" s="24">
        <v>3916677</v>
      </c>
      <c r="F39" s="22">
        <f>SUM(B39:E39)</f>
        <v>14622499</v>
      </c>
    </row>
    <row r="40" spans="1:6" x14ac:dyDescent="0.3">
      <c r="A40" s="14" t="s">
        <v>112</v>
      </c>
      <c r="B40" s="12">
        <v>0.392982263657425</v>
      </c>
      <c r="C40" s="12">
        <v>0.50060742651137002</v>
      </c>
      <c r="D40" s="12">
        <v>0.42207722492005201</v>
      </c>
      <c r="E40" s="12">
        <v>0.526293642837947</v>
      </c>
      <c r="F40" s="23">
        <v>0.462876468716861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F17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16" customWidth="1"/>
    <col min="3" max="3" width="12" customWidth="1"/>
    <col min="4" max="4" width="48" customWidth="1"/>
    <col min="5" max="5" width="14" customWidth="1"/>
    <col min="6" max="6" width="20" customWidth="1"/>
  </cols>
  <sheetData>
    <row r="1" spans="1:6" ht="17.399999999999999" x14ac:dyDescent="0.3">
      <c r="A1" s="2" t="s">
        <v>113</v>
      </c>
      <c r="B1" s="2"/>
      <c r="C1" s="2"/>
      <c r="D1" s="2"/>
      <c r="E1" s="2"/>
      <c r="F1" s="2"/>
    </row>
    <row r="3" spans="1:6" x14ac:dyDescent="0.3">
      <c r="A3" s="5" t="s">
        <v>114</v>
      </c>
      <c r="B3" s="5" t="s">
        <v>115</v>
      </c>
      <c r="C3" s="5" t="s">
        <v>116</v>
      </c>
      <c r="D3" s="5" t="s">
        <v>117</v>
      </c>
      <c r="E3" s="5" t="s">
        <v>118</v>
      </c>
      <c r="F3" s="5" t="s">
        <v>119</v>
      </c>
    </row>
    <row r="4" spans="1:6" x14ac:dyDescent="0.3">
      <c r="A4" s="14" t="s">
        <v>120</v>
      </c>
      <c r="B4" s="14" t="s">
        <v>121</v>
      </c>
      <c r="C4" s="19">
        <v>3</v>
      </c>
      <c r="D4" s="14" t="s">
        <v>122</v>
      </c>
      <c r="E4" s="8">
        <v>8500</v>
      </c>
      <c r="F4" s="14" t="s">
        <v>123</v>
      </c>
    </row>
    <row r="5" spans="1:6" x14ac:dyDescent="0.3">
      <c r="A5" s="14" t="s">
        <v>124</v>
      </c>
      <c r="B5" s="14" t="s">
        <v>125</v>
      </c>
      <c r="C5" s="19">
        <v>8</v>
      </c>
      <c r="D5" s="14" t="s">
        <v>126</v>
      </c>
      <c r="E5" s="8">
        <v>22000</v>
      </c>
      <c r="F5" s="14" t="s">
        <v>127</v>
      </c>
    </row>
    <row r="6" spans="1:6" x14ac:dyDescent="0.3">
      <c r="A6" s="14" t="s">
        <v>128</v>
      </c>
      <c r="B6" s="14" t="s">
        <v>129</v>
      </c>
      <c r="C6" s="19">
        <v>5</v>
      </c>
      <c r="D6" s="14" t="s">
        <v>130</v>
      </c>
      <c r="E6" s="8">
        <v>15000</v>
      </c>
      <c r="F6" s="14" t="s">
        <v>131</v>
      </c>
    </row>
    <row r="7" spans="1:6" x14ac:dyDescent="0.3">
      <c r="A7" s="14" t="s">
        <v>132</v>
      </c>
      <c r="B7" s="14" t="s">
        <v>133</v>
      </c>
      <c r="C7" s="19">
        <v>12</v>
      </c>
      <c r="D7" s="14" t="s">
        <v>134</v>
      </c>
      <c r="E7" s="8">
        <v>35000</v>
      </c>
      <c r="F7" s="14" t="s">
        <v>135</v>
      </c>
    </row>
    <row r="8" spans="1:6" x14ac:dyDescent="0.3">
      <c r="A8" s="14" t="s">
        <v>136</v>
      </c>
      <c r="B8" s="14" t="s">
        <v>137</v>
      </c>
      <c r="C8" s="19">
        <v>4</v>
      </c>
      <c r="D8" s="14" t="s">
        <v>138</v>
      </c>
      <c r="E8" s="8">
        <v>12000</v>
      </c>
      <c r="F8" s="14" t="s">
        <v>139</v>
      </c>
    </row>
    <row r="9" spans="1:6" x14ac:dyDescent="0.3">
      <c r="A9" s="14" t="s">
        <v>140</v>
      </c>
      <c r="B9" s="14" t="s">
        <v>141</v>
      </c>
      <c r="C9" s="19">
        <v>9</v>
      </c>
      <c r="D9" s="14" t="s">
        <v>142</v>
      </c>
      <c r="E9" s="8">
        <v>28000</v>
      </c>
      <c r="F9" s="14" t="s">
        <v>123</v>
      </c>
    </row>
    <row r="10" spans="1:6" x14ac:dyDescent="0.3">
      <c r="A10" s="14" t="s">
        <v>143</v>
      </c>
      <c r="B10" s="14" t="s">
        <v>144</v>
      </c>
      <c r="C10" s="19">
        <v>6</v>
      </c>
      <c r="D10" s="14" t="s">
        <v>145</v>
      </c>
      <c r="E10" s="8">
        <v>18000</v>
      </c>
      <c r="F10" s="14" t="s">
        <v>146</v>
      </c>
    </row>
    <row r="11" spans="1:6" x14ac:dyDescent="0.3">
      <c r="A11" s="14" t="s">
        <v>147</v>
      </c>
      <c r="B11" s="14" t="s">
        <v>148</v>
      </c>
      <c r="C11" s="19">
        <v>14</v>
      </c>
      <c r="D11" s="14" t="s">
        <v>149</v>
      </c>
      <c r="E11" s="8">
        <v>42000</v>
      </c>
      <c r="F11" s="14" t="s">
        <v>150</v>
      </c>
    </row>
    <row r="12" spans="1:6" x14ac:dyDescent="0.3">
      <c r="A12" s="14" t="s">
        <v>151</v>
      </c>
      <c r="B12" s="14" t="s">
        <v>152</v>
      </c>
      <c r="C12" s="19">
        <v>7</v>
      </c>
      <c r="D12" s="14" t="s">
        <v>153</v>
      </c>
      <c r="E12" s="8">
        <v>25000</v>
      </c>
      <c r="F12" s="14" t="s">
        <v>123</v>
      </c>
    </row>
    <row r="13" spans="1:6" x14ac:dyDescent="0.3">
      <c r="A13" s="14" t="s">
        <v>154</v>
      </c>
      <c r="B13" s="14" t="s">
        <v>155</v>
      </c>
      <c r="C13" s="19">
        <v>11</v>
      </c>
      <c r="D13" s="14" t="s">
        <v>156</v>
      </c>
      <c r="E13" s="8">
        <v>38000</v>
      </c>
      <c r="F13" s="14" t="s">
        <v>157</v>
      </c>
    </row>
    <row r="14" spans="1:6" x14ac:dyDescent="0.3">
      <c r="A14" s="14" t="s">
        <v>158</v>
      </c>
      <c r="B14" s="14" t="s">
        <v>159</v>
      </c>
      <c r="C14" s="19">
        <v>5</v>
      </c>
      <c r="D14" s="14" t="s">
        <v>160</v>
      </c>
      <c r="E14" s="8">
        <v>20000</v>
      </c>
      <c r="F14" s="14" t="s">
        <v>131</v>
      </c>
    </row>
    <row r="15" spans="1:6" x14ac:dyDescent="0.3">
      <c r="A15" s="14" t="s">
        <v>161</v>
      </c>
      <c r="B15" s="14" t="s">
        <v>162</v>
      </c>
      <c r="C15" s="19">
        <v>15</v>
      </c>
      <c r="D15" s="14" t="s">
        <v>163</v>
      </c>
      <c r="E15" s="8">
        <v>45000</v>
      </c>
      <c r="F15" s="14" t="s">
        <v>164</v>
      </c>
    </row>
    <row r="16" spans="1:6" x14ac:dyDescent="0.3">
      <c r="A16" s="14" t="s">
        <v>165</v>
      </c>
      <c r="B16" s="14" t="s">
        <v>166</v>
      </c>
      <c r="C16" s="19">
        <v>10</v>
      </c>
      <c r="D16" s="14" t="s">
        <v>167</v>
      </c>
      <c r="E16" s="8">
        <v>32000</v>
      </c>
      <c r="F16" s="14" t="s">
        <v>168</v>
      </c>
    </row>
    <row r="17" spans="1:6" x14ac:dyDescent="0.3">
      <c r="A17" s="25" t="s">
        <v>84</v>
      </c>
      <c r="B17" s="26"/>
      <c r="C17" s="25">
        <f>SUM(C4:C16)</f>
        <v>109</v>
      </c>
      <c r="D17" s="26"/>
      <c r="E17" s="17">
        <f>SUM(E4:E16)</f>
        <v>340500</v>
      </c>
      <c r="F17" s="26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J18"/>
  <sheetViews>
    <sheetView zoomScaleNormal="100" workbookViewId="0"/>
  </sheetViews>
  <sheetFormatPr defaultColWidth="8.6640625" defaultRowHeight="14.4" x14ac:dyDescent="0.3"/>
  <cols>
    <col min="1" max="1" width="5" customWidth="1"/>
    <col min="2" max="2" width="44" customWidth="1"/>
    <col min="3" max="10" width="16" customWidth="1"/>
  </cols>
  <sheetData>
    <row r="1" spans="1:10" ht="17.399999999999999" x14ac:dyDescent="0.3">
      <c r="A1" s="2" t="s">
        <v>169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27" t="s">
        <v>170</v>
      </c>
    </row>
    <row r="4" spans="1:10" ht="28.2" x14ac:dyDescent="0.3">
      <c r="A4" s="5" t="s">
        <v>39</v>
      </c>
      <c r="B4" s="5" t="s">
        <v>171</v>
      </c>
      <c r="C4" s="5" t="s">
        <v>172</v>
      </c>
      <c r="D4" s="5" t="s">
        <v>173</v>
      </c>
      <c r="E4" s="5" t="s">
        <v>174</v>
      </c>
      <c r="F4" s="5" t="s">
        <v>9</v>
      </c>
      <c r="G4" s="5" t="s">
        <v>175</v>
      </c>
      <c r="H4" s="5" t="s">
        <v>176</v>
      </c>
      <c r="I4" s="5" t="s">
        <v>177</v>
      </c>
      <c r="J4" s="5" t="s">
        <v>178</v>
      </c>
    </row>
    <row r="5" spans="1:10" x14ac:dyDescent="0.3">
      <c r="A5" s="14">
        <v>1</v>
      </c>
      <c r="B5" s="14" t="s">
        <v>179</v>
      </c>
      <c r="C5" s="19">
        <v>24</v>
      </c>
      <c r="D5" s="19">
        <v>6</v>
      </c>
      <c r="E5" s="9">
        <v>374400</v>
      </c>
      <c r="F5" s="19">
        <v>6</v>
      </c>
      <c r="G5" s="19">
        <v>6</v>
      </c>
      <c r="H5" s="9">
        <v>136800</v>
      </c>
      <c r="I5" s="22">
        <f t="shared" ref="I5:I17" si="0">E5+H5</f>
        <v>511200</v>
      </c>
      <c r="J5" s="12">
        <f>I5/2450000</f>
        <v>0.20865306122448979</v>
      </c>
    </row>
    <row r="6" spans="1:10" x14ac:dyDescent="0.3">
      <c r="A6" s="14">
        <v>2</v>
      </c>
      <c r="B6" s="14" t="s">
        <v>180</v>
      </c>
      <c r="C6" s="19">
        <v>18</v>
      </c>
      <c r="D6" s="19">
        <v>5</v>
      </c>
      <c r="E6" s="9">
        <v>234000</v>
      </c>
      <c r="F6" s="19">
        <v>5</v>
      </c>
      <c r="G6" s="19">
        <v>5</v>
      </c>
      <c r="H6" s="9">
        <v>95000</v>
      </c>
      <c r="I6" s="22">
        <f t="shared" si="0"/>
        <v>329000</v>
      </c>
      <c r="J6" s="12">
        <f>I6/1850000</f>
        <v>0.17783783783783783</v>
      </c>
    </row>
    <row r="7" spans="1:10" x14ac:dyDescent="0.3">
      <c r="A7" s="14">
        <v>3</v>
      </c>
      <c r="B7" s="14" t="s">
        <v>181</v>
      </c>
      <c r="C7" s="19">
        <v>22</v>
      </c>
      <c r="D7" s="19">
        <v>6</v>
      </c>
      <c r="E7" s="9">
        <v>343200</v>
      </c>
      <c r="F7" s="19">
        <v>5</v>
      </c>
      <c r="G7" s="19">
        <v>6</v>
      </c>
      <c r="H7" s="9">
        <v>114000</v>
      </c>
      <c r="I7" s="22">
        <f t="shared" si="0"/>
        <v>457200</v>
      </c>
      <c r="J7" s="12">
        <f>I7/2100000</f>
        <v>0.21771428571428572</v>
      </c>
    </row>
    <row r="8" spans="1:10" x14ac:dyDescent="0.3">
      <c r="A8" s="14">
        <v>4</v>
      </c>
      <c r="B8" s="14" t="s">
        <v>182</v>
      </c>
      <c r="C8" s="19">
        <v>28</v>
      </c>
      <c r="D8" s="19">
        <v>6</v>
      </c>
      <c r="E8" s="9">
        <v>436800</v>
      </c>
      <c r="F8" s="19">
        <v>7</v>
      </c>
      <c r="G8" s="19">
        <v>6</v>
      </c>
      <c r="H8" s="9">
        <v>159600</v>
      </c>
      <c r="I8" s="22">
        <f t="shared" si="0"/>
        <v>596400</v>
      </c>
      <c r="J8" s="12">
        <f>I8/2800000</f>
        <v>0.21299999999999999</v>
      </c>
    </row>
    <row r="9" spans="1:10" x14ac:dyDescent="0.3">
      <c r="A9" s="14">
        <v>5</v>
      </c>
      <c r="B9" s="14" t="s">
        <v>183</v>
      </c>
      <c r="C9" s="19">
        <v>30</v>
      </c>
      <c r="D9" s="19">
        <v>6</v>
      </c>
      <c r="E9" s="9">
        <v>468000</v>
      </c>
      <c r="F9" s="19">
        <v>8</v>
      </c>
      <c r="G9" s="19">
        <v>6</v>
      </c>
      <c r="H9" s="9">
        <v>182400</v>
      </c>
      <c r="I9" s="22">
        <f t="shared" si="0"/>
        <v>650400</v>
      </c>
      <c r="J9" s="12">
        <f>I9/3100000</f>
        <v>0.20980645161290323</v>
      </c>
    </row>
    <row r="10" spans="1:10" x14ac:dyDescent="0.3">
      <c r="A10" s="14">
        <v>6</v>
      </c>
      <c r="B10" s="14" t="s">
        <v>184</v>
      </c>
      <c r="C10" s="19">
        <v>16</v>
      </c>
      <c r="D10" s="19">
        <v>5</v>
      </c>
      <c r="E10" s="9">
        <v>208000</v>
      </c>
      <c r="F10" s="19">
        <v>4</v>
      </c>
      <c r="G10" s="19">
        <v>5</v>
      </c>
      <c r="H10" s="9">
        <v>76000</v>
      </c>
      <c r="I10" s="22">
        <f t="shared" si="0"/>
        <v>284000</v>
      </c>
      <c r="J10" s="12">
        <f>I10/1650000</f>
        <v>0.17212121212121212</v>
      </c>
    </row>
    <row r="11" spans="1:10" x14ac:dyDescent="0.3">
      <c r="A11" s="14">
        <v>7</v>
      </c>
      <c r="B11" s="14" t="s">
        <v>185</v>
      </c>
      <c r="C11" s="19">
        <v>20</v>
      </c>
      <c r="D11" s="19">
        <v>5</v>
      </c>
      <c r="E11" s="9">
        <v>260000</v>
      </c>
      <c r="F11" s="19">
        <v>6</v>
      </c>
      <c r="G11" s="19">
        <v>5</v>
      </c>
      <c r="H11" s="9">
        <v>114000</v>
      </c>
      <c r="I11" s="22">
        <f t="shared" si="0"/>
        <v>374000</v>
      </c>
      <c r="J11" s="12">
        <f>I11/2250000</f>
        <v>0.16622222222222222</v>
      </c>
    </row>
    <row r="12" spans="1:10" x14ac:dyDescent="0.3">
      <c r="A12" s="14">
        <v>8</v>
      </c>
      <c r="B12" s="14" t="s">
        <v>186</v>
      </c>
      <c r="C12" s="19">
        <v>20</v>
      </c>
      <c r="D12" s="19">
        <v>6</v>
      </c>
      <c r="E12" s="9">
        <v>312000</v>
      </c>
      <c r="F12" s="19">
        <v>5</v>
      </c>
      <c r="G12" s="19">
        <v>6</v>
      </c>
      <c r="H12" s="9">
        <v>114000</v>
      </c>
      <c r="I12" s="22">
        <f t="shared" si="0"/>
        <v>426000</v>
      </c>
      <c r="J12" s="12">
        <f>I12/1950000</f>
        <v>0.21846153846153846</v>
      </c>
    </row>
    <row r="13" spans="1:10" x14ac:dyDescent="0.3">
      <c r="A13" s="14">
        <v>9</v>
      </c>
      <c r="B13" s="14" t="s">
        <v>187</v>
      </c>
      <c r="C13" s="19">
        <v>26</v>
      </c>
      <c r="D13" s="19">
        <v>6</v>
      </c>
      <c r="E13" s="9">
        <v>405600</v>
      </c>
      <c r="F13" s="19">
        <v>7</v>
      </c>
      <c r="G13" s="19">
        <v>6</v>
      </c>
      <c r="H13" s="9">
        <v>159600</v>
      </c>
      <c r="I13" s="22">
        <f t="shared" si="0"/>
        <v>565200</v>
      </c>
      <c r="J13" s="12">
        <f>I13/2700000</f>
        <v>0.20933333333333334</v>
      </c>
    </row>
    <row r="14" spans="1:10" x14ac:dyDescent="0.3">
      <c r="A14" s="14">
        <v>10</v>
      </c>
      <c r="B14" s="14" t="s">
        <v>188</v>
      </c>
      <c r="C14" s="19">
        <v>32</v>
      </c>
      <c r="D14" s="19">
        <v>6</v>
      </c>
      <c r="E14" s="9">
        <v>499200</v>
      </c>
      <c r="F14" s="19">
        <v>8</v>
      </c>
      <c r="G14" s="19">
        <v>6</v>
      </c>
      <c r="H14" s="9">
        <v>182400</v>
      </c>
      <c r="I14" s="22">
        <f t="shared" si="0"/>
        <v>681600</v>
      </c>
      <c r="J14" s="12">
        <f>I14/3200000</f>
        <v>0.21299999999999999</v>
      </c>
    </row>
    <row r="15" spans="1:10" x14ac:dyDescent="0.3">
      <c r="A15" s="14">
        <v>11</v>
      </c>
      <c r="B15" s="14" t="s">
        <v>189</v>
      </c>
      <c r="C15" s="19">
        <v>24</v>
      </c>
      <c r="D15" s="19">
        <v>5</v>
      </c>
      <c r="E15" s="9">
        <v>312000</v>
      </c>
      <c r="F15" s="19">
        <v>6</v>
      </c>
      <c r="G15" s="19">
        <v>5</v>
      </c>
      <c r="H15" s="9">
        <v>114000</v>
      </c>
      <c r="I15" s="22">
        <f t="shared" si="0"/>
        <v>426000</v>
      </c>
      <c r="J15" s="12">
        <f>I15/2500000</f>
        <v>0.1704</v>
      </c>
    </row>
    <row r="16" spans="1:10" x14ac:dyDescent="0.3">
      <c r="A16" s="14">
        <v>12</v>
      </c>
      <c r="B16" s="14" t="s">
        <v>190</v>
      </c>
      <c r="C16" s="19">
        <v>18</v>
      </c>
      <c r="D16" s="19">
        <v>5</v>
      </c>
      <c r="E16" s="9">
        <v>234000</v>
      </c>
      <c r="F16" s="19">
        <v>4</v>
      </c>
      <c r="G16" s="19">
        <v>5</v>
      </c>
      <c r="H16" s="9">
        <v>76000</v>
      </c>
      <c r="I16" s="22">
        <f t="shared" si="0"/>
        <v>310000</v>
      </c>
      <c r="J16" s="12">
        <f>I16/1800000</f>
        <v>0.17222222222222222</v>
      </c>
    </row>
    <row r="17" spans="1:10" x14ac:dyDescent="0.3">
      <c r="A17" s="14">
        <v>13</v>
      </c>
      <c r="B17" s="14" t="s">
        <v>191</v>
      </c>
      <c r="C17" s="19">
        <v>28</v>
      </c>
      <c r="D17" s="19">
        <v>6</v>
      </c>
      <c r="E17" s="9">
        <v>436800</v>
      </c>
      <c r="F17" s="19">
        <v>7</v>
      </c>
      <c r="G17" s="19">
        <v>6</v>
      </c>
      <c r="H17" s="9">
        <v>159600</v>
      </c>
      <c r="I17" s="22">
        <f t="shared" si="0"/>
        <v>596400</v>
      </c>
      <c r="J17" s="12">
        <f>I17/2900000</f>
        <v>0.20565517241379311</v>
      </c>
    </row>
    <row r="18" spans="1:10" x14ac:dyDescent="0.3">
      <c r="A18" s="16" t="s">
        <v>78</v>
      </c>
      <c r="E18" s="17">
        <f>SUM(E5:E17)</f>
        <v>4524000</v>
      </c>
      <c r="H18" s="17">
        <f>SUM(H5:H17)</f>
        <v>1683400</v>
      </c>
      <c r="I18" s="17">
        <f>SUM(I5:I17)</f>
        <v>6207400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B43"/>
  <sheetViews>
    <sheetView zoomScaleNormal="100" workbookViewId="0"/>
  </sheetViews>
  <sheetFormatPr defaultColWidth="8.6640625" defaultRowHeight="14.4" x14ac:dyDescent="0.3"/>
  <cols>
    <col min="1" max="1" width="4" customWidth="1"/>
    <col min="2" max="2" width="80" customWidth="1"/>
  </cols>
  <sheetData>
    <row r="1" spans="1:2" ht="17.399999999999999" x14ac:dyDescent="0.3">
      <c r="A1" s="2" t="s">
        <v>192</v>
      </c>
      <c r="B1" s="2"/>
    </row>
    <row r="3" spans="1:2" ht="15.6" x14ac:dyDescent="0.3">
      <c r="A3" s="1" t="s">
        <v>193</v>
      </c>
      <c r="B3" s="1"/>
    </row>
    <row r="4" spans="1:2" x14ac:dyDescent="0.3">
      <c r="A4" s="28" t="s">
        <v>194</v>
      </c>
      <c r="B4" s="28" t="s">
        <v>195</v>
      </c>
    </row>
    <row r="5" spans="1:2" x14ac:dyDescent="0.3">
      <c r="A5" s="28" t="s">
        <v>194</v>
      </c>
      <c r="B5" s="28" t="s">
        <v>196</v>
      </c>
    </row>
    <row r="6" spans="1:2" x14ac:dyDescent="0.3">
      <c r="A6" s="28" t="s">
        <v>194</v>
      </c>
      <c r="B6" s="28" t="s">
        <v>197</v>
      </c>
    </row>
    <row r="7" spans="1:2" x14ac:dyDescent="0.3">
      <c r="A7" s="28" t="s">
        <v>194</v>
      </c>
      <c r="B7" s="28" t="s">
        <v>198</v>
      </c>
    </row>
    <row r="9" spans="1:2" ht="15.6" x14ac:dyDescent="0.3">
      <c r="A9" s="1" t="s">
        <v>199</v>
      </c>
      <c r="B9" s="1"/>
    </row>
    <row r="10" spans="1:2" x14ac:dyDescent="0.3">
      <c r="A10" s="28" t="s">
        <v>194</v>
      </c>
      <c r="B10" s="28" t="s">
        <v>200</v>
      </c>
    </row>
    <row r="11" spans="1:2" x14ac:dyDescent="0.3">
      <c r="A11" s="28" t="s">
        <v>194</v>
      </c>
      <c r="B11" s="28" t="s">
        <v>201</v>
      </c>
    </row>
    <row r="12" spans="1:2" x14ac:dyDescent="0.3">
      <c r="A12" s="28" t="s">
        <v>194</v>
      </c>
      <c r="B12" s="28" t="s">
        <v>202</v>
      </c>
    </row>
    <row r="14" spans="1:2" ht="15.6" x14ac:dyDescent="0.3">
      <c r="A14" s="1" t="s">
        <v>203</v>
      </c>
      <c r="B14" s="1"/>
    </row>
    <row r="15" spans="1:2" x14ac:dyDescent="0.3">
      <c r="A15" s="28" t="s">
        <v>194</v>
      </c>
      <c r="B15" s="28" t="s">
        <v>204</v>
      </c>
    </row>
    <row r="16" spans="1:2" x14ac:dyDescent="0.3">
      <c r="A16" s="28" t="s">
        <v>194</v>
      </c>
      <c r="B16" s="28" t="s">
        <v>205</v>
      </c>
    </row>
    <row r="17" spans="1:2" x14ac:dyDescent="0.3">
      <c r="A17" s="28" t="s">
        <v>194</v>
      </c>
      <c r="B17" s="28" t="s">
        <v>206</v>
      </c>
    </row>
    <row r="18" spans="1:2" x14ac:dyDescent="0.3">
      <c r="A18" s="28" t="s">
        <v>194</v>
      </c>
      <c r="B18" s="28" t="s">
        <v>207</v>
      </c>
    </row>
    <row r="20" spans="1:2" ht="15.6" x14ac:dyDescent="0.3">
      <c r="A20" s="1" t="s">
        <v>208</v>
      </c>
      <c r="B20" s="1"/>
    </row>
    <row r="21" spans="1:2" x14ac:dyDescent="0.3">
      <c r="A21" s="28" t="s">
        <v>194</v>
      </c>
      <c r="B21" s="28" t="s">
        <v>209</v>
      </c>
    </row>
    <row r="22" spans="1:2" x14ac:dyDescent="0.3">
      <c r="A22" s="28" t="s">
        <v>194</v>
      </c>
      <c r="B22" s="28" t="s">
        <v>210</v>
      </c>
    </row>
    <row r="23" spans="1:2" x14ac:dyDescent="0.3">
      <c r="A23" s="28" t="s">
        <v>194</v>
      </c>
      <c r="B23" s="28" t="s">
        <v>211</v>
      </c>
    </row>
    <row r="25" spans="1:2" ht="15.6" x14ac:dyDescent="0.3">
      <c r="A25" s="1" t="s">
        <v>212</v>
      </c>
      <c r="B25" s="1"/>
    </row>
    <row r="26" spans="1:2" x14ac:dyDescent="0.3">
      <c r="A26" s="28" t="s">
        <v>194</v>
      </c>
      <c r="B26" s="28" t="s">
        <v>213</v>
      </c>
    </row>
    <row r="27" spans="1:2" x14ac:dyDescent="0.3">
      <c r="A27" s="28" t="s">
        <v>194</v>
      </c>
      <c r="B27" s="28" t="s">
        <v>214</v>
      </c>
    </row>
    <row r="28" spans="1:2" x14ac:dyDescent="0.3">
      <c r="A28" s="28" t="s">
        <v>194</v>
      </c>
      <c r="B28" s="28" t="s">
        <v>215</v>
      </c>
    </row>
    <row r="29" spans="1:2" x14ac:dyDescent="0.3">
      <c r="A29" s="28" t="s">
        <v>194</v>
      </c>
      <c r="B29" s="28" t="s">
        <v>216</v>
      </c>
    </row>
    <row r="30" spans="1:2" x14ac:dyDescent="0.3">
      <c r="A30" s="28" t="s">
        <v>194</v>
      </c>
      <c r="B30" s="28" t="s">
        <v>217</v>
      </c>
    </row>
    <row r="32" spans="1:2" ht="15.6" x14ac:dyDescent="0.3">
      <c r="A32" s="1" t="s">
        <v>218</v>
      </c>
      <c r="B32" s="1"/>
    </row>
    <row r="33" spans="1:2" x14ac:dyDescent="0.3">
      <c r="A33" s="28" t="s">
        <v>194</v>
      </c>
      <c r="B33" s="28" t="s">
        <v>219</v>
      </c>
    </row>
    <row r="34" spans="1:2" x14ac:dyDescent="0.3">
      <c r="A34" s="28" t="s">
        <v>194</v>
      </c>
      <c r="B34" s="28" t="s">
        <v>220</v>
      </c>
    </row>
    <row r="35" spans="1:2" x14ac:dyDescent="0.3">
      <c r="A35" s="28" t="s">
        <v>194</v>
      </c>
      <c r="B35" s="28" t="s">
        <v>221</v>
      </c>
    </row>
    <row r="36" spans="1:2" x14ac:dyDescent="0.3">
      <c r="A36" s="28" t="s">
        <v>194</v>
      </c>
      <c r="B36" s="28" t="s">
        <v>222</v>
      </c>
    </row>
    <row r="38" spans="1:2" ht="15.6" x14ac:dyDescent="0.3">
      <c r="A38" s="1" t="s">
        <v>223</v>
      </c>
      <c r="B38" s="1"/>
    </row>
    <row r="39" spans="1:2" x14ac:dyDescent="0.3">
      <c r="A39" s="28" t="s">
        <v>194</v>
      </c>
      <c r="B39" s="28" t="s">
        <v>224</v>
      </c>
    </row>
    <row r="40" spans="1:2" x14ac:dyDescent="0.3">
      <c r="A40" s="28" t="s">
        <v>194</v>
      </c>
      <c r="B40" s="28" t="s">
        <v>225</v>
      </c>
    </row>
    <row r="41" spans="1:2" x14ac:dyDescent="0.3">
      <c r="A41" s="28" t="s">
        <v>194</v>
      </c>
      <c r="B41" s="28" t="s">
        <v>226</v>
      </c>
    </row>
    <row r="42" spans="1:2" x14ac:dyDescent="0.3">
      <c r="A42" s="28" t="s">
        <v>194</v>
      </c>
      <c r="B42" s="28" t="s">
        <v>227</v>
      </c>
    </row>
    <row r="43" spans="1:2" x14ac:dyDescent="0.3">
      <c r="A43" s="28" t="s">
        <v>194</v>
      </c>
      <c r="B43" s="28" t="s">
        <v>228</v>
      </c>
    </row>
  </sheetData>
  <mergeCells count="8">
    <mergeCell ref="A25:B25"/>
    <mergeCell ref="A32:B32"/>
    <mergeCell ref="A38:B38"/>
    <mergeCell ref="A1:B1"/>
    <mergeCell ref="A3:B3"/>
    <mergeCell ref="A9:B9"/>
    <mergeCell ref="A14:B14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P&amp;L</vt:lpstr>
      <vt:lpstr>Project Details</vt:lpstr>
      <vt:lpstr>Annual Summary</vt:lpstr>
      <vt:lpstr>Equipment Resale Log</vt:lpstr>
      <vt:lpstr>Labor Detail</vt:lpstr>
      <vt:lpstr>Assumptions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Hansol Chung</cp:lastModifiedBy>
  <cp:revision>0</cp:revision>
  <dcterms:created xsi:type="dcterms:W3CDTF">2026-03-25T02:19:20Z</dcterms:created>
  <dcterms:modified xsi:type="dcterms:W3CDTF">2026-03-25T02:37:17Z</dcterms:modified>
  <dc:language>en-US</dc:language>
</cp:coreProperties>
</file>